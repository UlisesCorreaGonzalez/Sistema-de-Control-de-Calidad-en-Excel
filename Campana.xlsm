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lise\Downloads\"/>
    </mc:Choice>
  </mc:AlternateContent>
  <xr:revisionPtr revIDLastSave="0" documentId="13_ncr:1_{0DD657FB-56C0-4E68-963D-C73D95630F45}" xr6:coauthVersionLast="47" xr6:coauthVersionMax="47" xr10:uidLastSave="{00000000-0000-0000-0000-000000000000}"/>
  <bookViews>
    <workbookView xWindow="-108" yWindow="-108" windowWidth="23256" windowHeight="12456" tabRatio="567" activeTab="3" xr2:uid="{E396168A-F878-41F8-A076-4CCED1506ED5}"/>
  </bookViews>
  <sheets>
    <sheet name="REGISTRO" sheetId="1" r:id="rId1"/>
    <sheet name="TABLA" sheetId="7" r:id="rId2"/>
    <sheet name="Campana" sheetId="9" r:id="rId3"/>
    <sheet name="MAQUINADO" sheetId="2" r:id="rId4"/>
    <sheet name="CORTE Y DOBLEZ" sheetId="3" r:id="rId5"/>
    <sheet name="MANUFACTURA" sheetId="4" r:id="rId6"/>
    <sheet name="PIEZAS" sheetId="5" r:id="rId7"/>
    <sheet name="LISTA_PIEZAS" sheetId="6" r:id="rId8"/>
  </sheets>
  <functionGroups builtInGroupCount="19"/>
  <definedNames>
    <definedName name="_xlnm._FilterDatabase" localSheetId="4" hidden="1">'CORTE Y DOBLEZ'!$B$1:$K$96</definedName>
    <definedName name="_xlnm._FilterDatabase" localSheetId="7" hidden="1">LISTA_PIEZAS!$A$1:$A$1</definedName>
    <definedName name="_xlnm._FilterDatabase" localSheetId="0" hidden="1">REGISTRO!$A$1:$S$1</definedName>
    <definedName name="_xlnm._FilterDatabase" localSheetId="1" hidden="1">TABLA!$B$1:$P$19</definedName>
    <definedName name="_xleta.NORM.DIST" hidden="1" xlm="1">#NAME?</definedName>
    <definedName name="_xleta.STDEVP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9" l="1"/>
  <c r="K10" i="9"/>
  <c r="S9" i="9"/>
  <c r="S8" i="9"/>
  <c r="Q11" i="9"/>
  <c r="Q10" i="9"/>
  <c r="Q9" i="9"/>
  <c r="Q8" i="9"/>
  <c r="O11" i="9"/>
  <c r="O10" i="9"/>
  <c r="O9" i="9"/>
  <c r="O8" i="9"/>
  <c r="S22" i="9"/>
  <c r="S21" i="9"/>
  <c r="H9" i="9"/>
  <c r="W31" i="9" s="1"/>
  <c r="AN10" i="7"/>
  <c r="AO10" i="7" s="1"/>
  <c r="AL10" i="7"/>
  <c r="AK10" i="7"/>
  <c r="AJ10" i="7"/>
  <c r="AI10" i="7"/>
  <c r="AH10" i="7"/>
  <c r="AN7" i="7"/>
  <c r="AO7" i="7" s="1"/>
  <c r="AN9" i="7"/>
  <c r="AO9" i="7" s="1"/>
  <c r="AL9" i="7"/>
  <c r="AK9" i="7"/>
  <c r="AJ9" i="7"/>
  <c r="AI9" i="7"/>
  <c r="AH9" i="7"/>
  <c r="AN8" i="7"/>
  <c r="AO8" i="7" s="1"/>
  <c r="AL8" i="7"/>
  <c r="AK8" i="7"/>
  <c r="AJ8" i="7"/>
  <c r="AI8" i="7"/>
  <c r="AH8" i="7"/>
  <c r="AL7" i="7"/>
  <c r="AK7" i="7"/>
  <c r="AJ7" i="7"/>
  <c r="AI7" i="7"/>
  <c r="AH7" i="7"/>
  <c r="AN6" i="7"/>
  <c r="AO6" i="7" s="1"/>
  <c r="AL6" i="7"/>
  <c r="AK6" i="7"/>
  <c r="AJ6" i="7"/>
  <c r="AI5" i="7"/>
  <c r="AH5" i="7"/>
  <c r="AN5" i="7"/>
  <c r="AO5" i="7" s="1"/>
  <c r="AL5" i="7"/>
  <c r="AK5" i="7"/>
  <c r="AJ5" i="7"/>
  <c r="AI6" i="7"/>
  <c r="AH6" i="7"/>
  <c r="AJ3" i="7"/>
  <c r="AN4" i="7"/>
  <c r="AO4" i="7" s="1"/>
  <c r="AL4" i="7"/>
  <c r="AK4" i="7"/>
  <c r="AJ4" i="7"/>
  <c r="AI4" i="7"/>
  <c r="AH4" i="7"/>
  <c r="AK3" i="7"/>
  <c r="AL3" i="7"/>
  <c r="AN3" i="7"/>
  <c r="AI3" i="7"/>
  <c r="AH3" i="7"/>
  <c r="AF3" i="7"/>
  <c r="AG3" i="7"/>
  <c r="AF4" i="7"/>
  <c r="AG4" i="7"/>
  <c r="AF5" i="7"/>
  <c r="AG5" i="7"/>
  <c r="AF6" i="7"/>
  <c r="AG6" i="7"/>
  <c r="AF7" i="7"/>
  <c r="AG7" i="7"/>
  <c r="AF8" i="7"/>
  <c r="AG8" i="7"/>
  <c r="AF9" i="7"/>
  <c r="AG9" i="7"/>
  <c r="AF10" i="7"/>
  <c r="AG10" i="7"/>
  <c r="AN2" i="7"/>
  <c r="AL2" i="7"/>
  <c r="AK2" i="7"/>
  <c r="AJ2" i="7"/>
  <c r="AI2" i="7"/>
  <c r="AH2" i="7"/>
  <c r="AF2" i="7"/>
  <c r="AG2" i="7"/>
  <c r="P9" i="9" l="1"/>
  <c r="R8" i="9" s="1"/>
  <c r="P11" i="9"/>
  <c r="R10" i="9" s="1"/>
  <c r="W8" i="9"/>
  <c r="W10" i="9"/>
  <c r="W12" i="9"/>
  <c r="W28" i="9"/>
  <c r="W29" i="9"/>
  <c r="W30" i="9"/>
  <c r="W9" i="9"/>
  <c r="W11" i="9"/>
  <c r="E26" i="9"/>
  <c r="E25" i="9"/>
  <c r="E24" i="9"/>
  <c r="E23" i="9"/>
  <c r="E22" i="9"/>
  <c r="E13" i="9"/>
  <c r="E12" i="9"/>
  <c r="E14" i="9"/>
  <c r="E29" i="9"/>
  <c r="E28" i="9"/>
  <c r="E27" i="9"/>
  <c r="E20" i="9"/>
  <c r="E19" i="9"/>
  <c r="E17" i="9"/>
  <c r="E21" i="9"/>
  <c r="E18" i="9"/>
  <c r="E32" i="9"/>
  <c r="E16" i="9"/>
  <c r="E31" i="9"/>
  <c r="E15" i="9"/>
  <c r="E30" i="9"/>
  <c r="E11" i="9"/>
  <c r="E10" i="9"/>
  <c r="E9" i="9"/>
  <c r="AO3" i="7"/>
  <c r="AO2" i="7"/>
  <c r="AM9" i="7"/>
  <c r="AM6" i="7"/>
  <c r="AM8" i="7"/>
  <c r="AM10" i="7"/>
  <c r="AP10" i="7"/>
  <c r="AM5" i="7"/>
  <c r="AM7" i="7"/>
  <c r="AM3" i="7"/>
  <c r="AM4" i="7"/>
  <c r="AP6" i="7"/>
  <c r="AP3" i="7"/>
  <c r="AP8" i="7"/>
  <c r="AP7" i="7"/>
  <c r="AP4" i="7"/>
  <c r="AP9" i="7"/>
  <c r="AP5" i="7"/>
  <c r="AP2" i="7"/>
  <c r="AM2" i="7"/>
  <c r="AQ7" i="7" l="1"/>
  <c r="AQ4" i="7"/>
  <c r="AQ10" i="7"/>
  <c r="AQ9" i="7"/>
  <c r="AQ8" i="7"/>
  <c r="AQ5" i="7"/>
  <c r="AQ3" i="7"/>
  <c r="AQ6" i="7"/>
  <c r="AQ2" i="7"/>
</calcChain>
</file>

<file path=xl/sharedStrings.xml><?xml version="1.0" encoding="utf-8"?>
<sst xmlns="http://schemas.openxmlformats.org/spreadsheetml/2006/main" count="2321" uniqueCount="364">
  <si>
    <t>Plano</t>
  </si>
  <si>
    <t xml:space="preserve">Lado 1 </t>
  </si>
  <si>
    <t xml:space="preserve">Lado 2 </t>
  </si>
  <si>
    <t>Lado 3</t>
  </si>
  <si>
    <t>Lado 4</t>
  </si>
  <si>
    <t>Lado 5</t>
  </si>
  <si>
    <t>Lado 6</t>
  </si>
  <si>
    <t>Lado 7</t>
  </si>
  <si>
    <t>Lado 8</t>
  </si>
  <si>
    <t>Lado 9</t>
  </si>
  <si>
    <t>Catarina 9 dientes Paso 80</t>
  </si>
  <si>
    <t>NA</t>
  </si>
  <si>
    <t xml:space="preserve">Cotas distintas y sin ensamble </t>
  </si>
  <si>
    <t>Perno funda exterior 1</t>
  </si>
  <si>
    <t xml:space="preserve">Medidas distintas </t>
  </si>
  <si>
    <t>Perno funda exterior 2</t>
  </si>
  <si>
    <t>Perno funda exterior 3</t>
  </si>
  <si>
    <t xml:space="preserve">Sin esamble </t>
  </si>
  <si>
    <t>Perno funda interior 1</t>
  </si>
  <si>
    <t>Perno funda interior 2</t>
  </si>
  <si>
    <t>Sin plano</t>
  </si>
  <si>
    <t>Perno funda interior 3</t>
  </si>
  <si>
    <t xml:space="preserve"> Sin plano ni ensamble </t>
  </si>
  <si>
    <t>2 1/4''</t>
  </si>
  <si>
    <t>Verificar boleado</t>
  </si>
  <si>
    <t>Camisa cople giratorio *</t>
  </si>
  <si>
    <t>Catarina 13 dientes paso 80 grande</t>
  </si>
  <si>
    <t xml:space="preserve">NA </t>
  </si>
  <si>
    <t>Perno superior vuelco *</t>
  </si>
  <si>
    <t>Perno inferior vuelco *</t>
  </si>
  <si>
    <t>Mamelon superior base giratoria</t>
  </si>
  <si>
    <t>Aumentos de mirilla</t>
  </si>
  <si>
    <t>Palanaca naylamid exterior *</t>
  </si>
  <si>
    <t>Palanca bomba manual *</t>
  </si>
  <si>
    <t>RONDANA BASE PALANCA INFERIOR</t>
  </si>
  <si>
    <t>RONDANA BASE PALANCA SUPERIOR</t>
  </si>
  <si>
    <t>Tubo 4 pulgadas</t>
  </si>
  <si>
    <t>Perno para canastilla</t>
  </si>
  <si>
    <t>cople para pedestal largo</t>
  </si>
  <si>
    <t xml:space="preserve">cople para pedestal corto </t>
  </si>
  <si>
    <t>BUJE PUNTA BRAZO INFERIOR</t>
  </si>
  <si>
    <t>MAMELON SUPERIOR CODO</t>
  </si>
  <si>
    <t>CAMISA PARA CANASTILLA</t>
  </si>
  <si>
    <t>COPLE CARTUCHO BOMBA MANUAL</t>
  </si>
  <si>
    <t>GOMA APOYO BRAZO INFERIOR</t>
  </si>
  <si>
    <t>BUJE CATARINA SISTEMA VUELCO</t>
  </si>
  <si>
    <t>Buje brazo palanca</t>
  </si>
  <si>
    <t>NUCLEO COPLE GIRATORIO</t>
  </si>
  <si>
    <t xml:space="preserve"> NA</t>
  </si>
  <si>
    <t>Acomplamiento Cople Giratorio</t>
  </si>
  <si>
    <t>BUJE CATARINA DOBLE</t>
  </si>
  <si>
    <t>PERNO BASE GIRATORIA BRAZO INFERIOR</t>
  </si>
  <si>
    <t>Perno brazo superior y cilindro plegado</t>
  </si>
  <si>
    <t>Perno union brazos</t>
  </si>
  <si>
    <t>PERNO CILINDRO APOYO CILINDRO</t>
  </si>
  <si>
    <t>Valvulas de corte</t>
  </si>
  <si>
    <t>tapa valvula de corte</t>
  </si>
  <si>
    <t>MAMELON FUNDA INTERIOR ESTABILIZADOR</t>
  </si>
  <si>
    <t>TUERCA</t>
  </si>
  <si>
    <t>BUJE CILINDRO VUELCO</t>
  </si>
  <si>
    <t>VASTAGO ELEVACION</t>
  </si>
  <si>
    <t>TUERCA ELEVACION</t>
  </si>
  <si>
    <t>TAPA CILINDRO</t>
  </si>
  <si>
    <t>TUBING ELEVACION</t>
  </si>
  <si>
    <t>BUJE ELEVACION</t>
  </si>
  <si>
    <t>mamelon de la caja de valvula elevacion</t>
  </si>
  <si>
    <t>Embolo elevacion</t>
  </si>
  <si>
    <t>Cilindro elevacion</t>
  </si>
  <si>
    <t>Tubing estabilizador</t>
  </si>
  <si>
    <t>Buje estabilizador</t>
  </si>
  <si>
    <t>Canastilla</t>
  </si>
  <si>
    <t>Concha canastilla</t>
  </si>
  <si>
    <t>CUBIERTA CODO</t>
  </si>
  <si>
    <t>Tapa estabilizador</t>
  </si>
  <si>
    <t>CUBIERTA</t>
  </si>
  <si>
    <t>Mamelon estabilizador</t>
  </si>
  <si>
    <t>Embolo estabilizador</t>
  </si>
  <si>
    <t>BUJE PLEGADO</t>
  </si>
  <si>
    <t>Cilindro plegado</t>
  </si>
  <si>
    <t>mamelon de la caja de valvula plegado</t>
  </si>
  <si>
    <t>Tapa cilindro</t>
  </si>
  <si>
    <t>MAMELON PLEGADO</t>
  </si>
  <si>
    <t>Tuerca plegado</t>
  </si>
  <si>
    <t xml:space="preserve">Vastago PLEGADO </t>
  </si>
  <si>
    <t>Rondanas de nailamid</t>
  </si>
  <si>
    <t>MAMELON PALANCA CENTRAL</t>
  </si>
  <si>
    <t>PIN 1/8"</t>
  </si>
  <si>
    <t>BRAZO DE PALANCAS</t>
  </si>
  <si>
    <t>SEPARADOR NAYLAMID</t>
  </si>
  <si>
    <t>eje palancas</t>
  </si>
  <si>
    <t>PALANCA DE NAYLAMID INTERIOR</t>
  </si>
  <si>
    <t>Brida bomba manual</t>
  </si>
  <si>
    <t>BRIDA SUPERIOR PEDESTAL REDONDO</t>
  </si>
  <si>
    <t>Cople 3-4 npt</t>
  </si>
  <si>
    <t>PIN 5-8 DE 15</t>
  </si>
  <si>
    <t>BUJE CATARINA 13 DIENTES</t>
  </si>
  <si>
    <t>ANGULO CONSOLA CANASTILLA</t>
  </si>
  <si>
    <t>Esparrago para tension de cadena</t>
  </si>
  <si>
    <t>Niple esparrago</t>
  </si>
  <si>
    <t>Rondana esparrago</t>
  </si>
  <si>
    <t>Solera patin base giratoria</t>
  </si>
  <si>
    <t>Naylamid patin</t>
  </si>
  <si>
    <t>Placa patin base giratoria</t>
  </si>
  <si>
    <t xml:space="preserve">Goma lateral </t>
  </si>
  <si>
    <t xml:space="preserve">Goma </t>
  </si>
  <si>
    <t>CATARINA DE AJUSTE PARA SISTEMA DE NIVELACION</t>
  </si>
  <si>
    <t>Oreja catarina de ajuste</t>
  </si>
  <si>
    <t>Placa para catarina  ajuste</t>
  </si>
  <si>
    <t>Refuerzo esparrago</t>
  </si>
  <si>
    <t>|</t>
  </si>
  <si>
    <t>17/32</t>
  </si>
  <si>
    <t>15/16</t>
  </si>
  <si>
    <t>21/64</t>
  </si>
  <si>
    <t>59/64</t>
  </si>
  <si>
    <t>13/64</t>
  </si>
  <si>
    <t>Placa soporte inferior apoyo</t>
  </si>
  <si>
    <t xml:space="preserve">Soporte brazo inferior (CORTE) </t>
  </si>
  <si>
    <t xml:space="preserve">Soporte brazo inferior (DOBLEZ) </t>
  </si>
  <si>
    <t>Canal para estabilizadores (CORTE)</t>
  </si>
  <si>
    <t>Canal para estabilizadores (DOBLEZ)</t>
  </si>
  <si>
    <t>Sujetador base estabilizador (CORTE)</t>
  </si>
  <si>
    <t>Sujetador base estabilizador (DOBLEZ)</t>
  </si>
  <si>
    <t>Sujetador de estabilizador</t>
  </si>
  <si>
    <t>Refuerzo Mamelones</t>
  </si>
  <si>
    <t>Escalón (CORTE)</t>
  </si>
  <si>
    <t>Escalón (DOBLEZ)</t>
  </si>
  <si>
    <t>REFUERZO LATERAL MAMELONES</t>
  </si>
  <si>
    <t>Proteccion comando inferior (CORTE)</t>
  </si>
  <si>
    <t>Proteccion comando inferior (DOBLEZ)</t>
  </si>
  <si>
    <t>PLACA BASE SOPORTE CILINDRO</t>
  </si>
  <si>
    <t>Refuerzo intermedio mamelones</t>
  </si>
  <si>
    <t>Brida de 3-4</t>
  </si>
  <si>
    <t>Base Giratoria derecha (CORTE)</t>
  </si>
  <si>
    <t>Base Giratoria derecha (DOBLEZ)</t>
  </si>
  <si>
    <t>Base valvula selectora</t>
  </si>
  <si>
    <t>Base Giratoria Izquierda (CORTE)</t>
  </si>
  <si>
    <t>Base Giratoria Izquierda (DOBLEZ)</t>
  </si>
  <si>
    <t>BASE CILINDRO VUELCO</t>
  </si>
  <si>
    <t>Base Motor (CORTE)</t>
  </si>
  <si>
    <t>Base Motor (DOBLEZ)</t>
  </si>
  <si>
    <t>Tapa Motor (CORTE)</t>
  </si>
  <si>
    <t>Tapa Motor (DOBLEZ)</t>
  </si>
  <si>
    <t>CORTECANAL BASE VALVULA 2 PALANCAS (CORTE)</t>
  </si>
  <si>
    <t>CORTECANAL BASE VALVULA 2 PALANCAS (DOBLEZ)</t>
  </si>
  <si>
    <t>CANAL BASE VALVULA SELECTORA (CORTE)</t>
  </si>
  <si>
    <t>CANAL BASE VALVULA SELECTORA (DOBLEZ)</t>
  </si>
  <si>
    <t>REFUERZO TAPA MOTOR</t>
  </si>
  <si>
    <t>Base brazo superior 2 de 2 (CORTE)</t>
  </si>
  <si>
    <t>Base brazo superior 2 de 2 (DOBLEZ)</t>
  </si>
  <si>
    <t>Base brazo superior 1 de 2 (CORTE)</t>
  </si>
  <si>
    <t xml:space="preserve">Base brazo superior 1 de 2 (DOBLEZ) </t>
  </si>
  <si>
    <t>REFUERZO BASE CANASTILLA CENTRAL</t>
  </si>
  <si>
    <t>REFUERZO BASE CANASTILLA LATERAL</t>
  </si>
  <si>
    <t xml:space="preserve">Base para canastilla (CORTE) </t>
  </si>
  <si>
    <t xml:space="preserve">Base para canastilla (DOBLEZ) </t>
  </si>
  <si>
    <t>PLACA SOPORTE APOYO ROSCADO</t>
  </si>
  <si>
    <t>Tapa de 4x4 en 3-16</t>
  </si>
  <si>
    <t>SOPORTE BASE TANQUE HIDRÁULICO (CORTE)</t>
  </si>
  <si>
    <t>SOPORTE BASE TANQUE HIDRÁULICO (DOBLEZ)</t>
  </si>
  <si>
    <t>TAPA LATERAL BRAZO INFERIOR</t>
  </si>
  <si>
    <t>placa para gata</t>
  </si>
  <si>
    <t>Tapa Brazo inferior</t>
  </si>
  <si>
    <t>Refuerzo Salida de Mangueras</t>
  </si>
  <si>
    <t>Refuerzo punta brazo inf</t>
  </si>
  <si>
    <t>Refuerzo apoyo cilindro</t>
  </si>
  <si>
    <t>Refuerzo extremo brazo inferior (CORTE)</t>
  </si>
  <si>
    <t>Refuerzo extremo brazo inferior (DOBLEZ)</t>
  </si>
  <si>
    <t>BRIDA BRAZO INFERIOR</t>
  </si>
  <si>
    <t>PLACA PARA BASE CATARINAS</t>
  </si>
  <si>
    <t>codo brazo superior derecho</t>
  </si>
  <si>
    <t>CODO BRAZO SUPERIOR IZQUIERDO</t>
  </si>
  <si>
    <t>REFUERZO PUNTA BRAZO</t>
  </si>
  <si>
    <t>PLACA REFUERZO CODO</t>
  </si>
  <si>
    <t>BRAZO SUPERIOR REFUERZO MAMELON</t>
  </si>
  <si>
    <t>CAPUCHON ESTABILIZADOR (CORTE)</t>
  </si>
  <si>
    <t>CAPUCHON ESTABILIZADOR (DOBLEZ)</t>
  </si>
  <si>
    <t>tapa capuchon estabilizador (CORTE)</t>
  </si>
  <si>
    <t>tapa capuchon estabilizador (DOBLEZ)</t>
  </si>
  <si>
    <t xml:space="preserve">Soporte palancas (CORTE) </t>
  </si>
  <si>
    <t xml:space="preserve">Soporte palancas (DOBLEZ) </t>
  </si>
  <si>
    <t xml:space="preserve">CANAL CONSOLA (CORTE) </t>
  </si>
  <si>
    <t xml:space="preserve">CANAL CONSOLA (DOBLEZ) </t>
  </si>
  <si>
    <t>TAPA VALVULAS BUCHER</t>
  </si>
  <si>
    <t>Solera valvulas de corte (CORTE)</t>
  </si>
  <si>
    <t>Solera valvulas de corte (DOBLEZ)</t>
  </si>
  <si>
    <t>Refuerzo de estabilizador</t>
  </si>
  <si>
    <t>Sujetador estabilizador largo</t>
  </si>
  <si>
    <t>Placa 3-16 funda interior</t>
  </si>
  <si>
    <t>TAPA PEDESTAL SUPERIOR</t>
  </si>
  <si>
    <t>PLACA MONTAJE</t>
  </si>
  <si>
    <t>CUBREPOLVO (CORTE)</t>
  </si>
  <si>
    <t>CUBREPOLVO (DOBLEZ)</t>
  </si>
  <si>
    <t>Tope cople giratorio</t>
  </si>
  <si>
    <t>CARTABON</t>
  </si>
  <si>
    <t>ABRAZADERA GRUA</t>
  </si>
  <si>
    <t>Solera (CORTE)</t>
  </si>
  <si>
    <t>Solera (DOBLEZ)</t>
  </si>
  <si>
    <t xml:space="preserve">SOLERA DE 3/16" X 1.5" </t>
  </si>
  <si>
    <t>PIN 5-8 DE 30 MM</t>
  </si>
  <si>
    <t>Solera de 3/4 pulga</t>
  </si>
  <si>
    <t>17.10</t>
  </si>
  <si>
    <t xml:space="preserve">Refuerzo base catarinas </t>
  </si>
  <si>
    <t>2.24</t>
  </si>
  <si>
    <t>2.13</t>
  </si>
  <si>
    <t>ENSAMBLE APOYO ESTABILIZADOR (CORTE)</t>
  </si>
  <si>
    <t>215.6</t>
  </si>
  <si>
    <t>152.4</t>
  </si>
  <si>
    <t>23.9</t>
  </si>
  <si>
    <t>169.8</t>
  </si>
  <si>
    <t>24.9</t>
  </si>
  <si>
    <t>213.3</t>
  </si>
  <si>
    <t xml:space="preserve">ENSAMBLE APOYO ESTABILIZADOR </t>
  </si>
  <si>
    <t>101.6</t>
  </si>
  <si>
    <t>37.8</t>
  </si>
  <si>
    <t>105.6</t>
  </si>
  <si>
    <t>30.2</t>
  </si>
  <si>
    <t>Orejas pernos</t>
  </si>
  <si>
    <t>CONSOLA PARA CANASTILLA( corte)</t>
  </si>
  <si>
    <t>CONSOLA PARA CANASTILLA(doblez)</t>
  </si>
  <si>
    <t>Operador</t>
  </si>
  <si>
    <t>Fecha</t>
  </si>
  <si>
    <t>OP</t>
  </si>
  <si>
    <t>Juan</t>
  </si>
  <si>
    <t>Máquina</t>
  </si>
  <si>
    <t>Área</t>
  </si>
  <si>
    <t>MAQUINADO</t>
  </si>
  <si>
    <t>8</t>
  </si>
  <si>
    <t>3 1/2</t>
  </si>
  <si>
    <t>1 1/2</t>
  </si>
  <si>
    <t>10</t>
  </si>
  <si>
    <t>3/4</t>
  </si>
  <si>
    <t>5 3/4</t>
  </si>
  <si>
    <t>3</t>
  </si>
  <si>
    <t>3/16</t>
  </si>
  <si>
    <t>1</t>
  </si>
  <si>
    <t>4</t>
  </si>
  <si>
    <t>1/4</t>
  </si>
  <si>
    <t>2</t>
  </si>
  <si>
    <t>1/2</t>
  </si>
  <si>
    <t>5/8</t>
  </si>
  <si>
    <t>3/8</t>
  </si>
  <si>
    <t>3 1/8</t>
  </si>
  <si>
    <t>11/16</t>
  </si>
  <si>
    <t>5/16</t>
  </si>
  <si>
    <t>9/32</t>
  </si>
  <si>
    <t>7/32</t>
  </si>
  <si>
    <t>2 1/2</t>
  </si>
  <si>
    <t>19/32</t>
  </si>
  <si>
    <t>1 1/4</t>
  </si>
  <si>
    <t>3/6</t>
  </si>
  <si>
    <t>9/16</t>
  </si>
  <si>
    <t>5/32</t>
  </si>
  <si>
    <t>4 1/2</t>
  </si>
  <si>
    <t>1/16</t>
  </si>
  <si>
    <t>Pedro</t>
  </si>
  <si>
    <t>CORTE Y DOBLEZ</t>
  </si>
  <si>
    <t>PTR DE 3X2</t>
  </si>
  <si>
    <t>Solera superior apoyo</t>
  </si>
  <si>
    <t>PTR 4X3 APOYO BRAZO INFERIOR CARROCERIA</t>
  </si>
  <si>
    <t>solera lateral apoyo</t>
  </si>
  <si>
    <t>Ptr 4x4 base estabilizadores</t>
  </si>
  <si>
    <t>Solera 3/16" x 3/4"</t>
  </si>
  <si>
    <t>Ptr 4x4 de 2150mm izquierdo</t>
  </si>
  <si>
    <t>Ptr 3x2 de 295mm</t>
  </si>
  <si>
    <t>Ptr 4x4 de 2150mm derecho</t>
  </si>
  <si>
    <t>Ptr 4x4 de 295mm</t>
  </si>
  <si>
    <t>HSS BRAZO INFERIOR 13 MTS.</t>
  </si>
  <si>
    <t>GANCHO</t>
  </si>
  <si>
    <t>PTR PUNTA DE BRAZO CA</t>
  </si>
  <si>
    <t>Argolla para arnes</t>
  </si>
  <si>
    <t>HSS CODO BRAZO SUP TL13CA</t>
  </si>
  <si>
    <t>INSERTO</t>
  </si>
  <si>
    <t>PTR exterior estabilizadores</t>
  </si>
  <si>
    <t>PTR interior estabilizadores</t>
  </si>
  <si>
    <t>Pedestal redondo</t>
  </si>
  <si>
    <t xml:space="preserve">PTR estabilizador </t>
  </si>
  <si>
    <t>SOPORTE CILINDRO PTR</t>
  </si>
  <si>
    <t>PIN 5-8 ESTABILIZADOR</t>
  </si>
  <si>
    <t>PERNO APOYO ESTABILIZADOR</t>
  </si>
  <si>
    <t>Funda exterior estabilizadores</t>
  </si>
  <si>
    <t>29/32</t>
  </si>
  <si>
    <t>MANUFACTURA</t>
  </si>
  <si>
    <t>David</t>
  </si>
  <si>
    <t>Tensor hexagonal</t>
  </si>
  <si>
    <t>Cople de aluminio base bomba</t>
  </si>
  <si>
    <t>Perno base giratoria y cilindro elevación</t>
  </si>
  <si>
    <t>Buje superior vuelco</t>
  </si>
  <si>
    <t>Buje inferior vuelco</t>
  </si>
  <si>
    <t>Tapa cilindro vuelco</t>
  </si>
  <si>
    <t>Embolo plegado</t>
  </si>
  <si>
    <t>Mamelon elavación</t>
  </si>
  <si>
    <t>Cople motriz HYSTAR</t>
  </si>
  <si>
    <t>Catarina 13 dientes paso 80 chica</t>
  </si>
  <si>
    <t>Catarina para perno canastilla</t>
  </si>
  <si>
    <t>Catarina sis. Vuelco 13 dientes</t>
  </si>
  <si>
    <t>Tapa nucleo cople giratorio</t>
  </si>
  <si>
    <t>Mamelon funda exterior</t>
  </si>
  <si>
    <t>Barra hueca</t>
  </si>
  <si>
    <t>Cople valvula corte</t>
  </si>
  <si>
    <t>Mamelon inferior codo</t>
  </si>
  <si>
    <t>Seguro perno separador</t>
  </si>
  <si>
    <t>Redondo para base catarina</t>
  </si>
  <si>
    <t>Separador catarina chico</t>
  </si>
  <si>
    <t>Mamelon de apoyo cilindro</t>
  </si>
  <si>
    <t>Base cartucho bomba manual</t>
  </si>
  <si>
    <t>Mamelon punta brazo inferior</t>
  </si>
  <si>
    <t>Embolo cilindro vuelco</t>
  </si>
  <si>
    <t>Mamelon inferior base giratoria</t>
  </si>
  <si>
    <t>cople para pedestal corto</t>
  </si>
  <si>
    <t>Vastago PLEGADO</t>
  </si>
  <si>
    <t>Goma lateral</t>
  </si>
  <si>
    <t>Goma</t>
  </si>
  <si>
    <t>Soporte brazo inferior (CORTE)</t>
  </si>
  <si>
    <t>Soporte brazo inferior (DOBLEZ)</t>
  </si>
  <si>
    <t>Base brazo superior 1 de 2 (DOBLEZ)</t>
  </si>
  <si>
    <t>Base para canastilla (CORTE)</t>
  </si>
  <si>
    <t>Base para canastilla (DOBLEZ)</t>
  </si>
  <si>
    <t>Soporte palancas (CORTE)</t>
  </si>
  <si>
    <t>Soporte palancas (DOBLEZ)</t>
  </si>
  <si>
    <t>CANAL CONSOLA (CORTE)</t>
  </si>
  <si>
    <t>CANAL CONSOLA (DOBLEZ)</t>
  </si>
  <si>
    <t>SOLERA DE 3/16" X 1.5"</t>
  </si>
  <si>
    <t>Refuerzo base catarinas</t>
  </si>
  <si>
    <t>ENSAMBLE APOYO ESTABILIZADOR</t>
  </si>
  <si>
    <t>PTR estabilizador</t>
  </si>
  <si>
    <t>Manuel</t>
  </si>
  <si>
    <t>Manual</t>
  </si>
  <si>
    <t>Total</t>
  </si>
  <si>
    <t>Promedio</t>
  </si>
  <si>
    <t>Máximo</t>
  </si>
  <si>
    <t>Mínimo</t>
  </si>
  <si>
    <t>Rango</t>
  </si>
  <si>
    <t>K</t>
  </si>
  <si>
    <t>CP</t>
  </si>
  <si>
    <t>CPK</t>
  </si>
  <si>
    <t>σ</t>
  </si>
  <si>
    <t>Media</t>
  </si>
  <si>
    <t>SPEC(UP)</t>
  </si>
  <si>
    <t>SPEC(LO)</t>
  </si>
  <si>
    <t>Lado1</t>
  </si>
  <si>
    <t>Lado2</t>
  </si>
  <si>
    <t>Lado3</t>
  </si>
  <si>
    <t>Lado4</t>
  </si>
  <si>
    <t>Lado5</t>
  </si>
  <si>
    <t>Lado6</t>
  </si>
  <si>
    <t>Lado7</t>
  </si>
  <si>
    <t>Lado8</t>
  </si>
  <si>
    <t>Lado9</t>
  </si>
  <si>
    <t>Torno 1</t>
  </si>
  <si>
    <t>Torno 2</t>
  </si>
  <si>
    <t>X</t>
  </si>
  <si>
    <t>Medida Nominal</t>
  </si>
  <si>
    <t>Datos</t>
  </si>
  <si>
    <t>Desviación</t>
  </si>
  <si>
    <t>Distribución</t>
  </si>
  <si>
    <t>Tolerancia</t>
  </si>
  <si>
    <t>Límite Sup</t>
  </si>
  <si>
    <t>Límite Inf</t>
  </si>
  <si>
    <t>Y</t>
  </si>
  <si>
    <t>y</t>
  </si>
  <si>
    <t>Rangos</t>
  </si>
  <si>
    <t>Evaluar</t>
  </si>
  <si>
    <t>Límite inferior</t>
  </si>
  <si>
    <t>Sombra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</si>
</sst>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164" formatCode="0.000"/>
    <numFmt numFmtId="165" formatCode="0.00000"/>
    <numFmt numFmtId="166" formatCode="0.00000000000000"/>
    <numFmt numFmtId="167" formatCode="0.000000000000000"/>
    <numFmt numFmtId="168" formatCode="0.00000000000000000000000000000000"/>
  </numFmts>
  <fonts count="1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8"/>
      <color rgb="FFF8FAFF"/>
      <name val="Courier New"/>
      <family val="3"/>
    </font>
    <font>
      <sz val="10"/>
      <name val="Segoe UI"/>
      <family val="2"/>
    </font>
    <font>
      <sz val="10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2C832"/>
        <bgColor indexed="64"/>
      </patternFill>
    </fill>
    <fill>
      <patternFill patternType="solid">
        <fgColor rgb="FFFF323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80FC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55">
    <xf numFmtId="0" fontId="0" fillId="0" borderId="0" xfId="0"/>
    <xf numFmtId="0" fontId="0" fillId="2" borderId="0" xfId="0" applyFill="1"/>
    <xf numFmtId="0" fontId="1" fillId="0" borderId="1" xfId="0" applyFont="1" applyBorder="1" applyAlignment="1">
      <alignment horizontal="center"/>
    </xf>
    <xf numFmtId="0" fontId="1" fillId="3" borderId="0" xfId="0" applyFont="1" applyFill="1"/>
    <xf numFmtId="0" fontId="0" fillId="0" borderId="1" xfId="0" applyBorder="1"/>
    <xf numFmtId="0" fontId="0" fillId="0" borderId="1" xfId="0" applyBorder="1" applyAlignment="1">
      <alignment horizontal="center"/>
    </xf>
    <xf numFmtId="12" fontId="0" fillId="0" borderId="0" xfId="0" applyNumberFormat="1" applyAlignment="1">
      <alignment horizontal="center"/>
    </xf>
    <xf numFmtId="0" fontId="0" fillId="3" borderId="0" xfId="0" applyFill="1"/>
    <xf numFmtId="0" fontId="0" fillId="4" borderId="0" xfId="0" applyFill="1"/>
    <xf numFmtId="164" fontId="0" fillId="0" borderId="1" xfId="0" applyNumberFormat="1" applyBorder="1" applyAlignment="1">
      <alignment horizontal="center"/>
    </xf>
    <xf numFmtId="0" fontId="1" fillId="2" borderId="0" xfId="0" applyFont="1" applyFill="1"/>
    <xf numFmtId="0" fontId="0" fillId="0" borderId="0" xfId="0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9" borderId="0" xfId="0" applyFill="1"/>
    <xf numFmtId="12" fontId="0" fillId="10" borderId="1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0" borderId="3" xfId="0" applyBorder="1" applyAlignment="1">
      <alignment horizontal="center"/>
    </xf>
    <xf numFmtId="13" fontId="0" fillId="0" borderId="1" xfId="0" applyNumberFormat="1" applyBorder="1" applyAlignment="1">
      <alignment horizontal="center"/>
    </xf>
    <xf numFmtId="12" fontId="0" fillId="8" borderId="1" xfId="0" applyNumberFormat="1" applyFill="1" applyBorder="1" applyAlignment="1">
      <alignment horizontal="center"/>
    </xf>
    <xf numFmtId="12" fontId="0" fillId="0" borderId="2" xfId="0" applyNumberFormat="1" applyBorder="1" applyAlignment="1">
      <alignment horizontal="center"/>
    </xf>
    <xf numFmtId="13" fontId="0" fillId="0" borderId="1" xfId="1" applyNumberFormat="1" applyFont="1" applyBorder="1" applyAlignment="1">
      <alignment horizontal="center"/>
    </xf>
    <xf numFmtId="0" fontId="0" fillId="9" borderId="1" xfId="0" applyFill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0" fillId="13" borderId="1" xfId="0" applyFill="1" applyBorder="1" applyAlignment="1">
      <alignment horizontal="left"/>
    </xf>
    <xf numFmtId="49" fontId="0" fillId="13" borderId="1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10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2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9" borderId="0" xfId="0" applyFill="1" applyAlignment="1">
      <alignment horizontal="center" vertical="center"/>
    </xf>
    <xf numFmtId="16" fontId="0" fillId="9" borderId="1" xfId="0" applyNumberForma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left"/>
    </xf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12" fontId="0" fillId="10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16" fontId="0" fillId="9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0" fillId="17" borderId="1" xfId="0" applyFill="1" applyBorder="1" applyAlignment="1">
      <alignment horizontal="left"/>
    </xf>
    <xf numFmtId="0" fontId="0" fillId="17" borderId="1" xfId="0" applyFill="1" applyBorder="1" applyAlignment="1">
      <alignment horizontal="left" wrapText="1"/>
    </xf>
    <xf numFmtId="0" fontId="0" fillId="18" borderId="1" xfId="0" applyFill="1" applyBorder="1" applyAlignment="1">
      <alignment horizontal="left"/>
    </xf>
    <xf numFmtId="0" fontId="0" fillId="19" borderId="1" xfId="0" applyFill="1" applyBorder="1" applyAlignment="1">
      <alignment horizontal="left"/>
    </xf>
    <xf numFmtId="0" fontId="0" fillId="19" borderId="2" xfId="0" applyFill="1" applyBorder="1" applyAlignment="1">
      <alignment horizontal="left"/>
    </xf>
    <xf numFmtId="0" fontId="0" fillId="0" borderId="0" xfId="0" applyAlignment="1">
      <alignment horizontal="left"/>
    </xf>
    <xf numFmtId="0" fontId="6" fillId="9" borderId="1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12" fontId="0" fillId="15" borderId="1" xfId="0" applyNumberFormat="1" applyFill="1" applyBorder="1" applyAlignment="1">
      <alignment horizontal="center"/>
    </xf>
    <xf numFmtId="12" fontId="0" fillId="15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4" fillId="16" borderId="1" xfId="0" applyFont="1" applyFill="1" applyBorder="1" applyAlignment="1">
      <alignment horizontal="center" vertical="center"/>
    </xf>
    <xf numFmtId="0" fontId="0" fillId="9" borderId="5" xfId="0" applyFill="1" applyBorder="1"/>
    <xf numFmtId="0" fontId="0" fillId="10" borderId="5" xfId="0" applyFill="1" applyBorder="1" applyAlignment="1">
      <alignment horizontal="center"/>
    </xf>
    <xf numFmtId="0" fontId="0" fillId="9" borderId="5" xfId="0" applyFill="1" applyBorder="1" applyAlignment="1">
      <alignment horizontal="center" vertical="center"/>
    </xf>
    <xf numFmtId="16" fontId="0" fillId="9" borderId="5" xfId="0" applyNumberForma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3" fontId="0" fillId="10" borderId="5" xfId="0" applyNumberFormat="1" applyFill="1" applyBorder="1" applyAlignment="1">
      <alignment horizontal="center"/>
    </xf>
    <xf numFmtId="12" fontId="0" fillId="10" borderId="5" xfId="0" applyNumberFormat="1" applyFill="1" applyBorder="1" applyAlignment="1">
      <alignment horizontal="center"/>
    </xf>
    <xf numFmtId="0" fontId="4" fillId="14" borderId="5" xfId="0" applyFont="1" applyFill="1" applyBorder="1" applyAlignment="1">
      <alignment horizontal="center" vertical="center"/>
    </xf>
    <xf numFmtId="13" fontId="0" fillId="11" borderId="1" xfId="0" applyNumberFormat="1" applyFill="1" applyBorder="1" applyAlignment="1">
      <alignment horizontal="center" vertical="center"/>
    </xf>
    <xf numFmtId="16" fontId="4" fillId="20" borderId="1" xfId="0" applyNumberFormat="1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 vertical="center"/>
    </xf>
    <xf numFmtId="49" fontId="0" fillId="10" borderId="1" xfId="0" applyNumberFormat="1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13" fontId="0" fillId="10" borderId="5" xfId="0" applyNumberFormat="1" applyFill="1" applyBorder="1" applyAlignment="1">
      <alignment horizontal="center" vertical="center"/>
    </xf>
    <xf numFmtId="12" fontId="0" fillId="10" borderId="5" xfId="0" applyNumberForma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4" fillId="21" borderId="1" xfId="0" applyFont="1" applyFill="1" applyBorder="1" applyAlignment="1">
      <alignment horizontal="center" vertical="center"/>
    </xf>
    <xf numFmtId="12" fontId="4" fillId="21" borderId="1" xfId="0" applyNumberFormat="1" applyFont="1" applyFill="1" applyBorder="1" applyAlignment="1">
      <alignment horizontal="center" vertical="center"/>
    </xf>
    <xf numFmtId="49" fontId="4" fillId="21" borderId="1" xfId="0" applyNumberFormat="1" applyFont="1" applyFill="1" applyBorder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13" fontId="4" fillId="21" borderId="1" xfId="0" applyNumberFormat="1" applyFont="1" applyFill="1" applyBorder="1" applyAlignment="1">
      <alignment horizontal="center" vertical="center"/>
    </xf>
    <xf numFmtId="0" fontId="4" fillId="21" borderId="5" xfId="0" applyFont="1" applyFill="1" applyBorder="1" applyAlignment="1">
      <alignment horizontal="center" vertical="center"/>
    </xf>
    <xf numFmtId="13" fontId="4" fillId="21" borderId="5" xfId="0" applyNumberFormat="1" applyFont="1" applyFill="1" applyBorder="1" applyAlignment="1">
      <alignment horizontal="center" vertical="center"/>
    </xf>
    <xf numFmtId="12" fontId="4" fillId="21" borderId="5" xfId="0" applyNumberFormat="1" applyFont="1" applyFill="1" applyBorder="1" applyAlignment="1">
      <alignment horizontal="center" vertical="center"/>
    </xf>
    <xf numFmtId="0" fontId="4" fillId="21" borderId="7" xfId="0" applyFont="1" applyFill="1" applyBorder="1" applyAlignment="1">
      <alignment horizontal="center" vertical="center"/>
    </xf>
    <xf numFmtId="49" fontId="4" fillId="21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2" fontId="6" fillId="9" borderId="1" xfId="0" applyNumberFormat="1" applyFont="1" applyFill="1" applyBorder="1" applyAlignment="1">
      <alignment horizontal="center" vertical="center"/>
    </xf>
    <xf numFmtId="49" fontId="6" fillId="9" borderId="1" xfId="0" applyNumberFormat="1" applyFont="1" applyFill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2" fontId="6" fillId="9" borderId="1" xfId="0" applyNumberFormat="1" applyFont="1" applyFill="1" applyBorder="1" applyAlignment="1">
      <alignment horizontal="center" vertical="top"/>
    </xf>
    <xf numFmtId="0" fontId="6" fillId="0" borderId="1" xfId="0" applyFont="1" applyBorder="1" applyAlignment="1">
      <alignment horizontal="center" vertical="center"/>
    </xf>
    <xf numFmtId="12" fontId="0" fillId="0" borderId="1" xfId="0" applyNumberFormat="1" applyBorder="1" applyAlignment="1">
      <alignment horizontal="center" vertical="center"/>
    </xf>
    <xf numFmtId="12" fontId="0" fillId="11" borderId="1" xfId="0" applyNumberForma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0" fontId="8" fillId="0" borderId="0" xfId="0" applyFont="1"/>
    <xf numFmtId="2" fontId="0" fillId="15" borderId="1" xfId="0" applyNumberFormat="1" applyFill="1" applyBorder="1" applyAlignment="1">
      <alignment horizontal="center" vertical="center"/>
    </xf>
    <xf numFmtId="2" fontId="0" fillId="10" borderId="1" xfId="0" applyNumberFormat="1" applyFill="1" applyBorder="1" applyAlignment="1">
      <alignment horizontal="center" vertical="center"/>
    </xf>
    <xf numFmtId="0" fontId="0" fillId="0" borderId="9" xfId="0" applyBorder="1"/>
    <xf numFmtId="167" fontId="0" fillId="0" borderId="10" xfId="0" applyNumberFormat="1" applyBorder="1"/>
    <xf numFmtId="0" fontId="0" fillId="0" borderId="11" xfId="0" applyBorder="1"/>
    <xf numFmtId="167" fontId="0" fillId="0" borderId="12" xfId="0" applyNumberFormat="1" applyBorder="1"/>
    <xf numFmtId="2" fontId="0" fillId="15" borderId="5" xfId="0" applyNumberFormat="1" applyFill="1" applyBorder="1" applyAlignment="1">
      <alignment horizontal="center" vertical="center"/>
    </xf>
    <xf numFmtId="2" fontId="0" fillId="0" borderId="1" xfId="0" applyNumberFormat="1" applyBorder="1"/>
    <xf numFmtId="0" fontId="0" fillId="0" borderId="15" xfId="0" applyBorder="1"/>
    <xf numFmtId="0" fontId="10" fillId="9" borderId="16" xfId="0" applyFont="1" applyFill="1" applyBorder="1" applyAlignment="1">
      <alignment vertical="center" wrapText="1"/>
    </xf>
    <xf numFmtId="167" fontId="0" fillId="0" borderId="16" xfId="0" applyNumberFormat="1" applyBorder="1"/>
    <xf numFmtId="0" fontId="0" fillId="0" borderId="17" xfId="0" applyBorder="1"/>
    <xf numFmtId="167" fontId="0" fillId="0" borderId="18" xfId="0" applyNumberFormat="1" applyBorder="1"/>
    <xf numFmtId="0" fontId="0" fillId="0" borderId="19" xfId="0" applyBorder="1"/>
    <xf numFmtId="0" fontId="10" fillId="9" borderId="20" xfId="0" applyFont="1" applyFill="1" applyBorder="1" applyAlignment="1">
      <alignment vertical="center" wrapText="1"/>
    </xf>
    <xf numFmtId="1" fontId="0" fillId="0" borderId="16" xfId="0" applyNumberFormat="1" applyBorder="1"/>
    <xf numFmtId="1" fontId="10" fillId="9" borderId="16" xfId="0" applyNumberFormat="1" applyFont="1" applyFill="1" applyBorder="1" applyAlignment="1">
      <alignment vertical="center" wrapText="1"/>
    </xf>
    <xf numFmtId="1" fontId="0" fillId="0" borderId="18" xfId="0" applyNumberFormat="1" applyBorder="1"/>
    <xf numFmtId="0" fontId="0" fillId="0" borderId="18" xfId="0" applyBorder="1"/>
    <xf numFmtId="0" fontId="0" fillId="0" borderId="16" xfId="0" applyBorder="1"/>
    <xf numFmtId="167" fontId="10" fillId="9" borderId="20" xfId="0" applyNumberFormat="1" applyFont="1" applyFill="1" applyBorder="1" applyAlignment="1">
      <alignment vertical="center" wrapText="1"/>
    </xf>
    <xf numFmtId="0" fontId="0" fillId="0" borderId="20" xfId="0" applyBorder="1"/>
    <xf numFmtId="167" fontId="0" fillId="0" borderId="20" xfId="0" applyNumberFormat="1" applyBorder="1"/>
    <xf numFmtId="0" fontId="0" fillId="22" borderId="21" xfId="0" applyFill="1" applyBorder="1"/>
    <xf numFmtId="0" fontId="0" fillId="22" borderId="22" xfId="0" applyFill="1" applyBorder="1"/>
    <xf numFmtId="0" fontId="0" fillId="8" borderId="21" xfId="0" applyFill="1" applyBorder="1"/>
    <xf numFmtId="0" fontId="0" fillId="8" borderId="22" xfId="0" applyFill="1" applyBorder="1"/>
    <xf numFmtId="0" fontId="0" fillId="19" borderId="21" xfId="0" applyFill="1" applyBorder="1"/>
    <xf numFmtId="0" fontId="0" fillId="19" borderId="22" xfId="0" applyFill="1" applyBorder="1"/>
    <xf numFmtId="0" fontId="9" fillId="2" borderId="21" xfId="0" applyFont="1" applyFill="1" applyBorder="1" applyAlignment="1">
      <alignment horizontal="left" vertical="center" wrapText="1"/>
    </xf>
    <xf numFmtId="0" fontId="9" fillId="2" borderId="22" xfId="0" applyFont="1" applyFill="1" applyBorder="1" applyAlignment="1">
      <alignment horizontal="left" vertical="center" wrapText="1"/>
    </xf>
    <xf numFmtId="0" fontId="0" fillId="2" borderId="21" xfId="0" applyFill="1" applyBorder="1"/>
    <xf numFmtId="0" fontId="0" fillId="2" borderId="2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3" borderId="21" xfId="0" applyFill="1" applyBorder="1"/>
    <xf numFmtId="0" fontId="0" fillId="23" borderId="22" xfId="0" applyFill="1" applyBorder="1"/>
    <xf numFmtId="0" fontId="0" fillId="24" borderId="8" xfId="0" applyFill="1" applyBorder="1"/>
    <xf numFmtId="12" fontId="0" fillId="9" borderId="0" xfId="0" applyNumberFormat="1" applyFill="1" applyAlignment="1">
      <alignment horizontal="center" vertical="center"/>
    </xf>
    <xf numFmtId="166" fontId="6" fillId="9" borderId="0" xfId="0" applyNumberFormat="1" applyFont="1" applyFill="1" applyAlignment="1">
      <alignment horizontal="center" vertical="center"/>
    </xf>
    <xf numFmtId="168" fontId="6" fillId="9" borderId="0" xfId="0" applyNumberFormat="1" applyFont="1" applyFill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2">
    <cellStyle name="Currency" xfId="1" builtinId="4"/>
    <cellStyle name="Normal" xfId="0" builtinId="0"/>
  </cellStyles>
  <dxfs count="9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Campana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Campana!$D$9:$D$32</c:f>
              <c:numCache>
                <c:formatCode>General</c:formatCode>
                <c:ptCount val="24"/>
                <c:pt idx="0">
                  <c:v>2.2320000000000002</c:v>
                </c:pt>
                <c:pt idx="1">
                  <c:v>2.2334999999999998</c:v>
                </c:pt>
                <c:pt idx="2">
                  <c:v>2.2349999999999999</c:v>
                </c:pt>
                <c:pt idx="3">
                  <c:v>2.2364999999999999</c:v>
                </c:pt>
                <c:pt idx="4">
                  <c:v>2.238</c:v>
                </c:pt>
                <c:pt idx="5">
                  <c:v>2.2395</c:v>
                </c:pt>
                <c:pt idx="6">
                  <c:v>2.2410000000000001</c:v>
                </c:pt>
                <c:pt idx="7">
                  <c:v>2.2425000000000002</c:v>
                </c:pt>
                <c:pt idx="8">
                  <c:v>2.2440000000000002</c:v>
                </c:pt>
                <c:pt idx="9">
                  <c:v>2.2454999999999998</c:v>
                </c:pt>
                <c:pt idx="10">
                  <c:v>2.2469999999999999</c:v>
                </c:pt>
                <c:pt idx="11">
                  <c:v>2.2484999999999999</c:v>
                </c:pt>
                <c:pt idx="12">
                  <c:v>2.25</c:v>
                </c:pt>
                <c:pt idx="13">
                  <c:v>2.2515000000000001</c:v>
                </c:pt>
                <c:pt idx="14">
                  <c:v>2.2529999999999899</c:v>
                </c:pt>
                <c:pt idx="15">
                  <c:v>2.25449999999999</c:v>
                </c:pt>
                <c:pt idx="16">
                  <c:v>2.25599999999999</c:v>
                </c:pt>
                <c:pt idx="17">
                  <c:v>2.2574999999999901</c:v>
                </c:pt>
                <c:pt idx="18">
                  <c:v>2.2589999999999901</c:v>
                </c:pt>
                <c:pt idx="19">
                  <c:v>2.2604999999999902</c:v>
                </c:pt>
                <c:pt idx="20">
                  <c:v>2.2619999999999898</c:v>
                </c:pt>
                <c:pt idx="21">
                  <c:v>2.2634999999999899</c:v>
                </c:pt>
                <c:pt idx="22">
                  <c:v>2.2649999999999899</c:v>
                </c:pt>
                <c:pt idx="23">
                  <c:v>2.26649999999999</c:v>
                </c:pt>
              </c:numCache>
            </c:numRef>
          </c:xVal>
          <c:yVal>
            <c:numRef>
              <c:f>Campana!$E$9:$E$32</c:f>
              <c:numCache>
                <c:formatCode>0.000000000000000</c:formatCode>
                <c:ptCount val="24"/>
                <c:pt idx="0">
                  <c:v>0.18603262506738338</c:v>
                </c:pt>
                <c:pt idx="1">
                  <c:v>0.48697629695576589</c:v>
                </c:pt>
                <c:pt idx="2">
                  <c:v>1.1724268998447906</c:v>
                </c:pt>
                <c:pt idx="3">
                  <c:v>2.5961092719211312</c:v>
                </c:pt>
                <c:pt idx="4">
                  <c:v>5.2871228908740084</c:v>
                </c:pt>
                <c:pt idx="5">
                  <c:v>9.9031893872086787</c:v>
                </c:pt>
                <c:pt idx="6">
                  <c:v>17.060431319721484</c:v>
                </c:pt>
                <c:pt idx="7">
                  <c:v>27.031128166510449</c:v>
                </c:pt>
                <c:pt idx="8">
                  <c:v>39.391051994157628</c:v>
                </c:pt>
                <c:pt idx="9">
                  <c:v>52.79468826396603</c:v>
                </c:pt>
                <c:pt idx="10">
                  <c:v>65.079187618950272</c:v>
                </c:pt>
                <c:pt idx="11">
                  <c:v>73.782481722306116</c:v>
                </c:pt>
                <c:pt idx="12">
                  <c:v>76.934943211056847</c:v>
                </c:pt>
                <c:pt idx="13">
                  <c:v>73.782481722306116</c:v>
                </c:pt>
                <c:pt idx="14">
                  <c:v>65.079187619024424</c:v>
                </c:pt>
                <c:pt idx="15">
                  <c:v>52.794688264056269</c:v>
                </c:pt>
                <c:pt idx="16">
                  <c:v>39.39105199424349</c:v>
                </c:pt>
                <c:pt idx="17">
                  <c:v>27.031128166584104</c:v>
                </c:pt>
                <c:pt idx="18">
                  <c:v>17.06043131977728</c:v>
                </c:pt>
                <c:pt idx="19">
                  <c:v>9.9031893872464583</c:v>
                </c:pt>
                <c:pt idx="20">
                  <c:v>5.2871228908981127</c:v>
                </c:pt>
                <c:pt idx="21">
                  <c:v>2.5961092719344427</c:v>
                </c:pt>
                <c:pt idx="22">
                  <c:v>1.1724268998514717</c:v>
                </c:pt>
                <c:pt idx="23">
                  <c:v>0.48697629695881778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04-4A66-AD0A-422239337A61}"/>
            </c:ext>
          </c:extLst>
        </c:ser>
        <c:ser>
          <c:idx val="8"/>
          <c:order val="1"/>
          <c:tx>
            <c:v>Medida nominal</c:v>
          </c:tx>
          <c:spPr>
            <a:ln w="22225" cap="rnd">
              <a:solidFill>
                <a:srgbClr val="92D050"/>
              </a:solidFill>
            </a:ln>
            <a:effectLst>
              <a:outerShdw blurRad="50800" dist="50800" dir="5400000" algn="ctr" rotWithShape="0">
                <a:schemeClr val="accent6">
                  <a:lumMod val="60000"/>
                  <a:lumOff val="40000"/>
                </a:schemeClr>
              </a:outerShdw>
            </a:effectLst>
          </c:spPr>
          <c:marker>
            <c:symbol val="none"/>
          </c:marker>
          <c:xVal>
            <c:numRef>
              <c:f>Campana!$S$16:$S$17</c:f>
              <c:numCache>
                <c:formatCode>General</c:formatCode>
                <c:ptCount val="2"/>
                <c:pt idx="0">
                  <c:v>2.25</c:v>
                </c:pt>
                <c:pt idx="1">
                  <c:v>2.25</c:v>
                </c:pt>
              </c:numCache>
            </c:numRef>
          </c:xVal>
          <c:yVal>
            <c:numRef>
              <c:f>Campana!$T$16:$T$17</c:f>
              <c:numCache>
                <c:formatCode>General</c:formatCode>
                <c:ptCount val="2"/>
                <c:pt idx="0">
                  <c:v>0</c:v>
                </c:pt>
                <c:pt idx="1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9C5-4B8C-A555-5AAA63F4BE40}"/>
            </c:ext>
          </c:extLst>
        </c:ser>
        <c:ser>
          <c:idx val="10"/>
          <c:order val="2"/>
          <c:tx>
            <c:v>Evaluar</c:v>
          </c:tx>
          <c:spPr>
            <a:ln w="22225" cap="rnd">
              <a:solidFill>
                <a:schemeClr val="accent5">
                  <a:lumMod val="40000"/>
                  <a:lumOff val="60000"/>
                </a:schemeClr>
              </a:solidFill>
            </a:ln>
            <a:effectLst>
              <a:outerShdw blurRad="50800" dist="50800" dir="5400000" algn="ctr" rotWithShape="0">
                <a:schemeClr val="accent5">
                  <a:lumMod val="40000"/>
                  <a:lumOff val="60000"/>
                </a:schemeClr>
              </a:outerShdw>
            </a:effectLst>
          </c:spPr>
          <c:marker>
            <c:symbol val="none"/>
          </c:marker>
          <c:xVal>
            <c:numRef>
              <c:f>Campana!$S$26:$S$27</c:f>
              <c:numCache>
                <c:formatCode>0.00</c:formatCode>
                <c:ptCount val="2"/>
                <c:pt idx="0">
                  <c:v>2.2610000000000001</c:v>
                </c:pt>
                <c:pt idx="1">
                  <c:v>2.2610000000000001</c:v>
                </c:pt>
              </c:numCache>
            </c:numRef>
          </c:xVal>
          <c:yVal>
            <c:numRef>
              <c:f>Campana!$T$26:$T$27</c:f>
              <c:numCache>
                <c:formatCode>General</c:formatCode>
                <c:ptCount val="2"/>
                <c:pt idx="0">
                  <c:v>0</c:v>
                </c:pt>
                <c:pt idx="1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9C5-4B8C-A555-5AAA63F4BE40}"/>
            </c:ext>
          </c:extLst>
        </c:ser>
        <c:ser>
          <c:idx val="9"/>
          <c:order val="3"/>
          <c:tx>
            <c:v>Promedio</c:v>
          </c:tx>
          <c:spPr>
            <a:ln w="22225" cap="rnd">
              <a:solidFill>
                <a:srgbClr val="FFFF00"/>
              </a:solidFill>
            </a:ln>
            <a:effectLst>
              <a:outerShdw blurRad="50800" dist="50800" dir="5400000" algn="ctr" rotWithShape="0">
                <a:srgbClr val="FFFF00"/>
              </a:outerShdw>
            </a:effectLst>
          </c:spPr>
          <c:marker>
            <c:symbol val="none"/>
          </c:marker>
          <c:xVal>
            <c:numRef>
              <c:f>Campana!$S$21:$S$22</c:f>
              <c:numCache>
                <c:formatCode>General</c:formatCode>
                <c:ptCount val="2"/>
                <c:pt idx="0">
                  <c:v>2.2555000000000001</c:v>
                </c:pt>
                <c:pt idx="1">
                  <c:v>2.2555000000000001</c:v>
                </c:pt>
              </c:numCache>
            </c:numRef>
          </c:xVal>
          <c:yVal>
            <c:numRef>
              <c:f>Campana!$T$21:$T$22</c:f>
              <c:numCache>
                <c:formatCode>General</c:formatCode>
                <c:ptCount val="2"/>
                <c:pt idx="0">
                  <c:v>0</c:v>
                </c:pt>
                <c:pt idx="1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9C5-4B8C-A555-5AAA63F4BE40}"/>
            </c:ext>
          </c:extLst>
        </c:ser>
        <c:ser>
          <c:idx val="1"/>
          <c:order val="4"/>
          <c:tx>
            <c:v>Rango1m</c:v>
          </c:tx>
          <c:spPr>
            <a:ln w="22225" cap="rnd">
              <a:solidFill>
                <a:srgbClr val="FF0000"/>
              </a:solidFill>
            </a:ln>
            <a:effectLst>
              <a:outerShdw blurRad="50800" dist="50800" dir="5400000" algn="ctr" rotWithShape="0">
                <a:srgbClr val="FF0000"/>
              </a:outerShdw>
            </a:effectLst>
          </c:spPr>
          <c:marker>
            <c:symbol val="none"/>
          </c:marker>
          <c:xVal>
            <c:numRef>
              <c:f>Campana!$O$8:$O$9</c:f>
              <c:numCache>
                <c:formatCode>General</c:formatCode>
                <c:ptCount val="2"/>
                <c:pt idx="0">
                  <c:v>2.238</c:v>
                </c:pt>
                <c:pt idx="1">
                  <c:v>2.238</c:v>
                </c:pt>
              </c:numCache>
            </c:numRef>
          </c:xVal>
          <c:yVal>
            <c:numRef>
              <c:f>Campana!$P$8:$P$9</c:f>
              <c:numCache>
                <c:formatCode>0.000000000000000</c:formatCode>
                <c:ptCount val="2"/>
                <c:pt idx="0" formatCode="General">
                  <c:v>0</c:v>
                </c:pt>
                <c:pt idx="1">
                  <c:v>5.2871228908740084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04-4A66-AD0A-422239337A61}"/>
            </c:ext>
          </c:extLst>
        </c:ser>
        <c:ser>
          <c:idx val="2"/>
          <c:order val="5"/>
          <c:tx>
            <c:v>Rango2m</c:v>
          </c:tx>
          <c:spPr>
            <a:ln w="22225" cap="rnd">
              <a:solidFill>
                <a:srgbClr val="FF0000"/>
              </a:solidFill>
            </a:ln>
            <a:effectLst>
              <a:outerShdw blurRad="50800" dist="50800" dir="5400000" algn="ctr" rotWithShape="0">
                <a:srgbClr val="FF0000"/>
              </a:outerShdw>
            </a:effectLst>
          </c:spPr>
          <c:marker>
            <c:symbol val="none"/>
          </c:marker>
          <c:xVal>
            <c:numRef>
              <c:f>Campana!$O$10:$O$11</c:f>
              <c:numCache>
                <c:formatCode>General</c:formatCode>
                <c:ptCount val="2"/>
                <c:pt idx="0">
                  <c:v>2.262</c:v>
                </c:pt>
                <c:pt idx="1">
                  <c:v>2.262</c:v>
                </c:pt>
              </c:numCache>
            </c:numRef>
          </c:xVal>
          <c:yVal>
            <c:numRef>
              <c:f>Campana!$P$10:$P$11</c:f>
              <c:numCache>
                <c:formatCode>0.000000000000000</c:formatCode>
                <c:ptCount val="2"/>
                <c:pt idx="0" formatCode="General">
                  <c:v>0</c:v>
                </c:pt>
                <c:pt idx="1">
                  <c:v>5.2871228908740084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D04-4A66-AD0A-422239337A61}"/>
            </c:ext>
          </c:extLst>
        </c:ser>
        <c:ser>
          <c:idx val="3"/>
          <c:order val="6"/>
          <c:tx>
            <c:v>LímiteCampana</c:v>
          </c:tx>
          <c:spPr>
            <a:ln w="22225" cap="rnd">
              <a:solidFill>
                <a:srgbClr val="FF0000"/>
              </a:solidFill>
              <a:prstDash val="solid"/>
            </a:ln>
            <a:effectLst>
              <a:outerShdw blurRad="50800" dist="50800" dir="5400000" algn="ctr" rotWithShape="0">
                <a:srgbClr val="FF0000"/>
              </a:outerShdw>
            </a:effectLst>
          </c:spPr>
          <c:marker>
            <c:symbol val="none"/>
          </c:marker>
          <c:xVal>
            <c:numRef>
              <c:f>Campana!$V$8:$V$31</c:f>
              <c:numCache>
                <c:formatCode>General</c:formatCode>
                <c:ptCount val="24"/>
                <c:pt idx="0">
                  <c:v>2.2320000000000002</c:v>
                </c:pt>
                <c:pt idx="1">
                  <c:v>2.2334999999999998</c:v>
                </c:pt>
                <c:pt idx="2">
                  <c:v>2.2349999999999999</c:v>
                </c:pt>
                <c:pt idx="3">
                  <c:v>2.2364999999999999</c:v>
                </c:pt>
                <c:pt idx="4">
                  <c:v>2.238</c:v>
                </c:pt>
                <c:pt idx="20">
                  <c:v>2.2619999999999898</c:v>
                </c:pt>
                <c:pt idx="21">
                  <c:v>2.2634999999999899</c:v>
                </c:pt>
                <c:pt idx="22">
                  <c:v>2.2649999999999899</c:v>
                </c:pt>
                <c:pt idx="23">
                  <c:v>2.26649999999999</c:v>
                </c:pt>
              </c:numCache>
            </c:numRef>
          </c:xVal>
          <c:yVal>
            <c:numRef>
              <c:f>Campana!$W$8:$W$31</c:f>
              <c:numCache>
                <c:formatCode>0.000000000000000</c:formatCode>
                <c:ptCount val="24"/>
                <c:pt idx="0">
                  <c:v>0.18603262506738338</c:v>
                </c:pt>
                <c:pt idx="1">
                  <c:v>0.48697629695576589</c:v>
                </c:pt>
                <c:pt idx="2">
                  <c:v>1.1724268998447906</c:v>
                </c:pt>
                <c:pt idx="3">
                  <c:v>2.5961092719211312</c:v>
                </c:pt>
                <c:pt idx="4">
                  <c:v>5.2871228908740084</c:v>
                </c:pt>
                <c:pt idx="20">
                  <c:v>5.2871228908981127</c:v>
                </c:pt>
                <c:pt idx="21">
                  <c:v>2.5961092719344427</c:v>
                </c:pt>
                <c:pt idx="22">
                  <c:v>1.1724268998514717</c:v>
                </c:pt>
                <c:pt idx="23">
                  <c:v>0.48697629695881778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D04-4A66-AD0A-422239337A61}"/>
            </c:ext>
          </c:extLst>
        </c:ser>
        <c:ser>
          <c:idx val="5"/>
          <c:order val="7"/>
          <c:tx>
            <c:v>Rango 1</c:v>
          </c:tx>
          <c:spPr>
            <a:ln w="22225" cap="rnd">
              <a:solidFill>
                <a:srgbClr val="FF0000"/>
              </a:solidFill>
              <a:prstDash val="dash"/>
            </a:ln>
            <a:effectLst>
              <a:outerShdw blurRad="50800" dist="50800" dir="5400000" algn="ctr" rotWithShape="0">
                <a:srgbClr val="FF0000"/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D856-4196-814A-B8447E967DEB}"/>
              </c:ext>
            </c:extLst>
          </c:dPt>
          <c:xVal>
            <c:numRef>
              <c:f>Campana!$Q$8:$Q$9</c:f>
              <c:numCache>
                <c:formatCode>General</c:formatCode>
                <c:ptCount val="2"/>
                <c:pt idx="0">
                  <c:v>2.238</c:v>
                </c:pt>
                <c:pt idx="1">
                  <c:v>2.238</c:v>
                </c:pt>
              </c:numCache>
            </c:numRef>
          </c:xVal>
          <c:yVal>
            <c:numRef>
              <c:f>Campana!$R$8:$R$9</c:f>
              <c:numCache>
                <c:formatCode>0</c:formatCode>
                <c:ptCount val="2"/>
                <c:pt idx="0" formatCode="0.000000000000000">
                  <c:v>5.2871228908740084</c:v>
                </c:pt>
                <c:pt idx="1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C5-4B8C-A555-5AAA63F4BE40}"/>
            </c:ext>
          </c:extLst>
        </c:ser>
        <c:ser>
          <c:idx val="6"/>
          <c:order val="8"/>
          <c:tx>
            <c:v>Rango 2</c:v>
          </c:tx>
          <c:spPr>
            <a:ln w="22225" cap="rnd">
              <a:solidFill>
                <a:srgbClr val="FF0000"/>
              </a:solidFill>
              <a:prstDash val="dash"/>
            </a:ln>
            <a:effectLst>
              <a:outerShdw blurRad="50800" dist="50800" dir="5400000" algn="ctr" rotWithShape="0">
                <a:srgbClr val="FF0000"/>
              </a:outerShdw>
            </a:effectLst>
          </c:spPr>
          <c:marker>
            <c:symbol val="none"/>
          </c:marker>
          <c:xVal>
            <c:numRef>
              <c:f>Campana!$Q$10:$Q$11</c:f>
              <c:numCache>
                <c:formatCode>General</c:formatCode>
                <c:ptCount val="2"/>
                <c:pt idx="0">
                  <c:v>2.262</c:v>
                </c:pt>
                <c:pt idx="1">
                  <c:v>2.262</c:v>
                </c:pt>
              </c:numCache>
            </c:numRef>
          </c:xVal>
          <c:yVal>
            <c:numRef>
              <c:f>Campana!$R$10:$R$11</c:f>
              <c:numCache>
                <c:formatCode>0</c:formatCode>
                <c:ptCount val="2"/>
                <c:pt idx="0">
                  <c:v>5.2871228908740084</c:v>
                </c:pt>
                <c:pt idx="1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C5-4B8C-A555-5AAA63F4BE40}"/>
            </c:ext>
          </c:extLst>
        </c:ser>
        <c:ser>
          <c:idx val="7"/>
          <c:order val="9"/>
          <c:tx>
            <c:v>LímiteCampanaInf</c:v>
          </c:tx>
          <c:spPr>
            <a:ln w="22225" cap="rnd">
              <a:solidFill>
                <a:srgbClr val="FF0000"/>
              </a:solidFill>
            </a:ln>
            <a:effectLst>
              <a:outerShdw blurRad="50800" dist="50800" dir="5400000" algn="ctr" rotWithShape="0">
                <a:srgbClr val="FF0000"/>
              </a:outerShdw>
            </a:effectLst>
          </c:spPr>
          <c:marker>
            <c:symbol val="none"/>
          </c:marker>
          <c:xVal>
            <c:numRef>
              <c:f>Campana!$S$8:$S$9</c:f>
              <c:numCache>
                <c:formatCode>General</c:formatCode>
                <c:ptCount val="2"/>
                <c:pt idx="0">
                  <c:v>2.262</c:v>
                </c:pt>
                <c:pt idx="1">
                  <c:v>2.238</c:v>
                </c:pt>
              </c:numCache>
            </c:numRef>
          </c:xVal>
          <c:yVal>
            <c:numRef>
              <c:f>Campana!$T$8:$T$9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C5-4B8C-A555-5AAA63F4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5448160"/>
        <c:axId val="1235465440"/>
      </c:scatterChart>
      <c:valAx>
        <c:axId val="123544816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235465440"/>
        <c:crosses val="autoZero"/>
        <c:crossBetween val="midCat"/>
      </c:valAx>
      <c:valAx>
        <c:axId val="12354654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000000000000" sourceLinked="1"/>
        <c:majorTickMark val="none"/>
        <c:minorTickMark val="none"/>
        <c:tickLblPos val="nextTo"/>
        <c:crossAx val="123544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495300</xdr:colOff>
          <xdr:row>9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Comparar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76200</xdr:rowOff>
        </xdr:from>
        <xdr:to>
          <xdr:col>0</xdr:col>
          <xdr:colOff>426720</xdr:colOff>
          <xdr:row>11</xdr:row>
          <xdr:rowOff>99060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Ocult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76200</xdr:rowOff>
        </xdr:from>
        <xdr:to>
          <xdr:col>0</xdr:col>
          <xdr:colOff>426720</xdr:colOff>
          <xdr:row>17</xdr:row>
          <xdr:rowOff>99060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22860</xdr:rowOff>
        </xdr:from>
        <xdr:to>
          <xdr:col>0</xdr:col>
          <xdr:colOff>495300</xdr:colOff>
          <xdr:row>28</xdr:row>
          <xdr:rowOff>45720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0</xdr:row>
          <xdr:rowOff>83820</xdr:rowOff>
        </xdr:from>
        <xdr:to>
          <xdr:col>16</xdr:col>
          <xdr:colOff>769620</xdr:colOff>
          <xdr:row>2</xdr:row>
          <xdr:rowOff>137160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Tabla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39395</xdr:colOff>
      <xdr:row>11</xdr:row>
      <xdr:rowOff>64173</xdr:rowOff>
    </xdr:from>
    <xdr:to>
      <xdr:col>17</xdr:col>
      <xdr:colOff>1192306</xdr:colOff>
      <xdr:row>31</xdr:row>
      <xdr:rowOff>161363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AFBF6EA-9749-D337-5B88-2D12B45F8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7620</xdr:rowOff>
        </xdr:from>
        <xdr:to>
          <xdr:col>5</xdr:col>
          <xdr:colOff>0</xdr:colOff>
          <xdr:row>2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F16D6-B538-4E23-9F47-BB4EDFA363C5}">
  <sheetPr codeName="Sheet1">
    <tabColor rgb="FF92D050"/>
  </sheetPr>
  <dimension ref="A1:S250"/>
  <sheetViews>
    <sheetView workbookViewId="0">
      <selection activeCell="C40" sqref="C40"/>
    </sheetView>
  </sheetViews>
  <sheetFormatPr defaultRowHeight="14.4" x14ac:dyDescent="0.3"/>
  <cols>
    <col min="1" max="1" width="7.33203125" style="40" customWidth="1"/>
    <col min="2" max="2" width="31.88671875" style="40" bestFit="1" customWidth="1"/>
    <col min="3" max="4" width="11" style="40" bestFit="1" customWidth="1"/>
    <col min="5" max="11" width="10.6640625" style="40" bestFit="1" customWidth="1"/>
    <col min="12" max="12" width="13.109375" style="40" bestFit="1" customWidth="1"/>
    <col min="13" max="13" width="12.33203125" style="40" bestFit="1" customWidth="1"/>
    <col min="14" max="14" width="7.88671875" style="40" bestFit="1" customWidth="1"/>
    <col min="15" max="15" width="14.77734375" style="40" bestFit="1" customWidth="1"/>
    <col min="16" max="16" width="12" style="40" customWidth="1"/>
    <col min="17" max="17" width="8.109375" customWidth="1"/>
    <col min="18" max="18" width="8" customWidth="1"/>
    <col min="19" max="19" width="8.44140625" customWidth="1"/>
    <col min="20" max="20" width="6.21875" customWidth="1"/>
    <col min="21" max="21" width="7.33203125" customWidth="1"/>
    <col min="22" max="22" width="8.6640625" customWidth="1"/>
    <col min="23" max="23" width="6" customWidth="1"/>
    <col min="24" max="24" width="7.21875" customWidth="1"/>
    <col min="25" max="25" width="10.5546875" customWidth="1"/>
  </cols>
  <sheetData>
    <row r="1" spans="1:19" x14ac:dyDescent="0.3">
      <c r="B1" s="72" t="s">
        <v>0</v>
      </c>
      <c r="C1" s="72" t="s">
        <v>1</v>
      </c>
      <c r="D1" s="72" t="s">
        <v>2</v>
      </c>
      <c r="E1" s="72" t="s">
        <v>3</v>
      </c>
      <c r="F1" s="72" t="s">
        <v>4</v>
      </c>
      <c r="G1" s="72" t="s">
        <v>5</v>
      </c>
      <c r="H1" s="72" t="s">
        <v>6</v>
      </c>
      <c r="I1" s="72" t="s">
        <v>7</v>
      </c>
      <c r="J1" s="72" t="s">
        <v>8</v>
      </c>
      <c r="K1" s="72" t="s">
        <v>9</v>
      </c>
      <c r="L1" s="72" t="s">
        <v>219</v>
      </c>
      <c r="M1" s="72" t="s">
        <v>223</v>
      </c>
      <c r="N1" s="72" t="s">
        <v>221</v>
      </c>
      <c r="O1" s="72" t="s">
        <v>224</v>
      </c>
      <c r="P1" s="72" t="s">
        <v>220</v>
      </c>
    </row>
    <row r="2" spans="1:19" x14ac:dyDescent="0.3">
      <c r="A2" s="41"/>
      <c r="B2" s="27" t="s">
        <v>256</v>
      </c>
      <c r="C2" s="21">
        <v>2</v>
      </c>
      <c r="D2" s="21">
        <v>3</v>
      </c>
      <c r="E2" s="21">
        <v>51.83</v>
      </c>
      <c r="F2" s="21">
        <v>51.67</v>
      </c>
      <c r="G2" s="21" t="s">
        <v>11</v>
      </c>
      <c r="H2" s="21" t="s">
        <v>11</v>
      </c>
      <c r="I2" s="21" t="s">
        <v>11</v>
      </c>
      <c r="J2" s="21" t="s">
        <v>11</v>
      </c>
      <c r="K2" s="21" t="s">
        <v>11</v>
      </c>
      <c r="L2" s="36" t="s">
        <v>222</v>
      </c>
      <c r="M2" s="36"/>
      <c r="N2" s="36"/>
      <c r="O2" s="77" t="s">
        <v>281</v>
      </c>
      <c r="P2" s="42">
        <v>45734</v>
      </c>
      <c r="Q2" s="19"/>
    </row>
    <row r="3" spans="1:19" s="41" customFormat="1" x14ac:dyDescent="0.3">
      <c r="B3" s="36"/>
      <c r="C3" s="37"/>
      <c r="D3" s="37"/>
      <c r="E3" s="37"/>
      <c r="F3" s="37"/>
      <c r="G3" s="37"/>
      <c r="H3" s="37"/>
      <c r="I3" s="37"/>
      <c r="J3" s="37"/>
      <c r="K3" s="37"/>
      <c r="L3" s="36"/>
      <c r="M3" s="36"/>
      <c r="N3" s="36"/>
      <c r="O3" s="45"/>
      <c r="P3" s="36"/>
    </row>
    <row r="4" spans="1:19" x14ac:dyDescent="0.3">
      <c r="B4" s="27" t="s">
        <v>256</v>
      </c>
      <c r="C4" s="21">
        <v>2</v>
      </c>
      <c r="D4" s="21">
        <v>3</v>
      </c>
      <c r="E4" s="21">
        <v>51.83</v>
      </c>
      <c r="F4" s="21">
        <v>51.67</v>
      </c>
      <c r="G4" s="21" t="s">
        <v>11</v>
      </c>
      <c r="H4" s="21" t="s">
        <v>11</v>
      </c>
      <c r="I4" s="21" t="s">
        <v>11</v>
      </c>
      <c r="J4" s="21" t="s">
        <v>11</v>
      </c>
      <c r="K4" s="21" t="s">
        <v>11</v>
      </c>
      <c r="L4" s="36" t="s">
        <v>325</v>
      </c>
      <c r="M4" s="36"/>
      <c r="N4" s="36"/>
      <c r="O4" s="78" t="s">
        <v>281</v>
      </c>
      <c r="P4" s="42">
        <v>45735</v>
      </c>
      <c r="Q4" s="19"/>
    </row>
    <row r="5" spans="1:19" s="41" customFormat="1" x14ac:dyDescent="0.3">
      <c r="B5" s="36"/>
      <c r="C5" s="37"/>
      <c r="D5" s="37"/>
      <c r="E5" s="37"/>
      <c r="F5" s="37"/>
      <c r="G5" s="37"/>
      <c r="H5" s="37"/>
      <c r="I5" s="37"/>
      <c r="J5" s="37"/>
      <c r="K5" s="37"/>
      <c r="L5" s="36"/>
      <c r="M5" s="36"/>
      <c r="N5" s="36"/>
      <c r="O5" s="45"/>
      <c r="P5" s="36"/>
    </row>
    <row r="6" spans="1:19" x14ac:dyDescent="0.3">
      <c r="A6" s="41"/>
      <c r="B6" s="27" t="s">
        <v>283</v>
      </c>
      <c r="C6" s="21">
        <v>6</v>
      </c>
      <c r="D6" s="20">
        <v>0.625</v>
      </c>
      <c r="E6" s="34" t="s">
        <v>11</v>
      </c>
      <c r="F6" s="34" t="s">
        <v>11</v>
      </c>
      <c r="G6" s="34" t="s">
        <v>11</v>
      </c>
      <c r="H6" s="34" t="s">
        <v>11</v>
      </c>
      <c r="I6" s="34" t="s">
        <v>11</v>
      </c>
      <c r="J6" s="34" t="s">
        <v>11</v>
      </c>
      <c r="K6" s="34" t="s">
        <v>11</v>
      </c>
      <c r="L6" s="36" t="s">
        <v>254</v>
      </c>
      <c r="M6" s="36"/>
      <c r="N6" s="36"/>
      <c r="O6" s="43" t="s">
        <v>225</v>
      </c>
      <c r="P6" s="42">
        <v>45736</v>
      </c>
      <c r="Q6" s="19"/>
    </row>
    <row r="7" spans="1:19" s="41" customFormat="1" x14ac:dyDescent="0.3">
      <c r="B7" s="36"/>
      <c r="C7" s="37"/>
      <c r="D7" s="37"/>
      <c r="E7" s="37"/>
      <c r="F7" s="37"/>
      <c r="G7" s="37"/>
      <c r="H7" s="37"/>
      <c r="I7" s="37"/>
      <c r="J7" s="37"/>
      <c r="K7" s="37"/>
      <c r="L7" s="36"/>
      <c r="M7" s="36"/>
      <c r="N7" s="36"/>
      <c r="O7" s="45"/>
      <c r="P7" s="36"/>
    </row>
    <row r="8" spans="1:19" x14ac:dyDescent="0.3">
      <c r="A8" s="41"/>
      <c r="B8" s="27" t="s">
        <v>283</v>
      </c>
      <c r="C8" s="21">
        <v>6</v>
      </c>
      <c r="D8" s="20">
        <v>0.625</v>
      </c>
      <c r="E8" s="34" t="s">
        <v>11</v>
      </c>
      <c r="F8" s="34" t="s">
        <v>11</v>
      </c>
      <c r="G8" s="34" t="s">
        <v>11</v>
      </c>
      <c r="H8" s="34" t="s">
        <v>11</v>
      </c>
      <c r="I8" s="34" t="s">
        <v>11</v>
      </c>
      <c r="J8" s="34" t="s">
        <v>11</v>
      </c>
      <c r="K8" s="34" t="s">
        <v>11</v>
      </c>
      <c r="L8" s="36" t="s">
        <v>222</v>
      </c>
      <c r="M8" s="36"/>
      <c r="N8" s="36"/>
      <c r="O8" s="43" t="s">
        <v>225</v>
      </c>
      <c r="P8" s="42">
        <v>45737</v>
      </c>
      <c r="Q8" s="19"/>
      <c r="R8" s="19"/>
      <c r="S8" s="19"/>
    </row>
    <row r="9" spans="1:19" s="41" customFormat="1" x14ac:dyDescent="0.3">
      <c r="B9" s="36"/>
      <c r="C9" s="37"/>
      <c r="D9" s="37"/>
      <c r="E9" s="37"/>
      <c r="F9" s="37"/>
      <c r="G9" s="37"/>
      <c r="H9" s="37"/>
      <c r="I9" s="37"/>
      <c r="J9" s="37"/>
      <c r="K9" s="37"/>
      <c r="L9" s="36"/>
      <c r="M9" s="36"/>
      <c r="N9" s="36"/>
      <c r="O9" s="45"/>
      <c r="P9" s="36"/>
    </row>
    <row r="10" spans="1:19" x14ac:dyDescent="0.3">
      <c r="A10" s="41"/>
      <c r="B10" s="27" t="s">
        <v>283</v>
      </c>
      <c r="C10" s="21">
        <v>6</v>
      </c>
      <c r="D10" s="20">
        <v>0.625</v>
      </c>
      <c r="E10" s="21" t="s">
        <v>11</v>
      </c>
      <c r="F10" s="21" t="s">
        <v>11</v>
      </c>
      <c r="G10" s="21" t="s">
        <v>11</v>
      </c>
      <c r="H10" s="21" t="s">
        <v>11</v>
      </c>
      <c r="I10" s="21" t="s">
        <v>11</v>
      </c>
      <c r="J10" s="21" t="s">
        <v>11</v>
      </c>
      <c r="K10" s="21" t="s">
        <v>11</v>
      </c>
      <c r="L10" s="36" t="s">
        <v>222</v>
      </c>
      <c r="M10" s="36"/>
      <c r="N10" s="36"/>
      <c r="O10" s="43" t="s">
        <v>225</v>
      </c>
      <c r="P10" s="42">
        <v>45738</v>
      </c>
      <c r="Q10" s="41"/>
      <c r="R10" s="19"/>
      <c r="S10" s="19"/>
    </row>
    <row r="11" spans="1:19" s="62" customFormat="1" ht="15.6" customHeight="1" x14ac:dyDescent="0.3">
      <c r="B11" s="61"/>
      <c r="C11" s="104"/>
      <c r="D11" s="104"/>
      <c r="E11" s="104"/>
      <c r="F11" s="104"/>
      <c r="G11" s="104"/>
      <c r="H11" s="104"/>
      <c r="I11" s="104"/>
      <c r="J11" s="104"/>
      <c r="K11" s="104"/>
      <c r="L11" s="61"/>
      <c r="M11" s="61"/>
      <c r="N11" s="61"/>
      <c r="O11" s="61"/>
      <c r="P11" s="61"/>
    </row>
    <row r="12" spans="1:19" x14ac:dyDescent="0.3">
      <c r="A12" s="41"/>
      <c r="B12" s="68" t="s">
        <v>100</v>
      </c>
      <c r="C12" s="69">
        <v>3.94</v>
      </c>
      <c r="D12" s="73">
        <v>0.3125</v>
      </c>
      <c r="E12" s="74">
        <v>1</v>
      </c>
      <c r="F12" s="69">
        <v>1.25</v>
      </c>
      <c r="G12" s="69" t="s">
        <v>11</v>
      </c>
      <c r="H12" s="69" t="s">
        <v>11</v>
      </c>
      <c r="I12" s="69" t="s">
        <v>11</v>
      </c>
      <c r="J12" s="69" t="s">
        <v>11</v>
      </c>
      <c r="K12" s="69" t="s">
        <v>11</v>
      </c>
      <c r="L12" s="70" t="s">
        <v>326</v>
      </c>
      <c r="M12" s="70"/>
      <c r="N12" s="70"/>
      <c r="O12" s="75" t="s">
        <v>225</v>
      </c>
      <c r="P12" s="71">
        <v>45739</v>
      </c>
      <c r="Q12" s="41"/>
      <c r="R12" s="19"/>
      <c r="S12" s="19"/>
    </row>
    <row r="13" spans="1:19" s="41" customFormat="1" x14ac:dyDescent="0.3">
      <c r="B13" s="36"/>
      <c r="C13" s="37"/>
      <c r="D13" s="105"/>
      <c r="E13" s="37"/>
      <c r="F13" s="37"/>
      <c r="G13" s="37"/>
      <c r="H13" s="37"/>
      <c r="I13" s="37"/>
      <c r="J13" s="37"/>
      <c r="K13" s="37"/>
      <c r="L13" s="36"/>
      <c r="M13" s="36"/>
      <c r="N13" s="36"/>
      <c r="O13" s="45"/>
      <c r="P13" s="36"/>
    </row>
    <row r="14" spans="1:19" x14ac:dyDescent="0.3">
      <c r="A14" s="41"/>
      <c r="B14" s="27" t="s">
        <v>271</v>
      </c>
      <c r="C14" s="20">
        <v>9.25</v>
      </c>
      <c r="D14" s="21" t="s">
        <v>247</v>
      </c>
      <c r="E14" s="20">
        <v>7.25</v>
      </c>
      <c r="F14" s="21">
        <v>112.99</v>
      </c>
      <c r="G14" s="21">
        <v>3.15</v>
      </c>
      <c r="H14" s="21" t="s">
        <v>11</v>
      </c>
      <c r="I14" s="21" t="s">
        <v>11</v>
      </c>
      <c r="J14" s="21" t="s">
        <v>11</v>
      </c>
      <c r="K14" s="21" t="s">
        <v>11</v>
      </c>
      <c r="L14" s="38" t="s">
        <v>254</v>
      </c>
      <c r="M14" s="36"/>
      <c r="N14" s="36"/>
      <c r="O14" s="78" t="s">
        <v>281</v>
      </c>
      <c r="P14" s="42">
        <v>45734</v>
      </c>
      <c r="Q14" s="41"/>
      <c r="R14" s="19"/>
      <c r="S14" s="19"/>
    </row>
    <row r="15" spans="1:19" s="40" customFormat="1" x14ac:dyDescent="0.3">
      <c r="A15" s="41"/>
      <c r="B15" s="36"/>
      <c r="C15" s="37"/>
      <c r="D15" s="37"/>
      <c r="E15" s="37"/>
      <c r="F15" s="37"/>
      <c r="G15" s="37"/>
      <c r="H15" s="37"/>
      <c r="I15" s="37"/>
      <c r="J15" s="37"/>
      <c r="K15" s="37"/>
      <c r="L15" s="36"/>
      <c r="M15" s="36"/>
      <c r="N15" s="36"/>
      <c r="O15" s="45"/>
      <c r="P15" s="36"/>
      <c r="Q15" s="41"/>
      <c r="R15" s="41"/>
      <c r="S15" s="41"/>
    </row>
    <row r="16" spans="1:19" x14ac:dyDescent="0.3">
      <c r="A16" s="19"/>
      <c r="B16" s="27" t="s">
        <v>290</v>
      </c>
      <c r="C16" s="63">
        <v>2.2610000000000001</v>
      </c>
      <c r="D16" s="20">
        <v>1.5</v>
      </c>
      <c r="E16" s="21">
        <v>4</v>
      </c>
      <c r="F16" s="20">
        <v>0.5</v>
      </c>
      <c r="G16" s="20">
        <v>0.625</v>
      </c>
      <c r="H16" s="21" t="s">
        <v>11</v>
      </c>
      <c r="I16" s="21" t="s">
        <v>11</v>
      </c>
      <c r="J16" s="21" t="s">
        <v>11</v>
      </c>
      <c r="K16" s="21" t="s">
        <v>11</v>
      </c>
      <c r="L16" s="36" t="s">
        <v>254</v>
      </c>
      <c r="M16" s="36"/>
      <c r="N16" s="36"/>
      <c r="O16" s="43" t="s">
        <v>225</v>
      </c>
      <c r="P16" s="53">
        <v>45734</v>
      </c>
    </row>
    <row r="17" spans="1:16" s="41" customFormat="1" x14ac:dyDescent="0.3">
      <c r="B17" s="36"/>
      <c r="C17" s="52">
        <v>1.1000000000000121E-2</v>
      </c>
      <c r="D17" s="37"/>
      <c r="E17" s="37"/>
      <c r="F17" s="37"/>
      <c r="G17" s="37"/>
      <c r="H17" s="37"/>
      <c r="I17" s="37"/>
      <c r="J17" s="37"/>
      <c r="K17" s="37"/>
      <c r="L17" s="36"/>
      <c r="M17" s="36"/>
      <c r="N17" s="36"/>
      <c r="O17" s="45"/>
      <c r="P17" s="36"/>
    </row>
    <row r="18" spans="1:16" x14ac:dyDescent="0.3">
      <c r="A18" s="41"/>
      <c r="B18" s="46" t="s">
        <v>190</v>
      </c>
      <c r="C18" s="66">
        <v>4.83</v>
      </c>
      <c r="D18" s="65">
        <v>10</v>
      </c>
      <c r="E18" s="65">
        <v>10.5</v>
      </c>
      <c r="F18" s="65">
        <v>27</v>
      </c>
      <c r="G18" s="65">
        <v>30</v>
      </c>
      <c r="H18" s="65">
        <v>20</v>
      </c>
      <c r="I18" s="34" t="s">
        <v>11</v>
      </c>
      <c r="J18" s="34" t="s">
        <v>11</v>
      </c>
      <c r="K18" s="34" t="s">
        <v>11</v>
      </c>
      <c r="L18" s="36" t="s">
        <v>254</v>
      </c>
      <c r="M18" s="36"/>
      <c r="N18" s="36"/>
      <c r="O18" s="67" t="s">
        <v>255</v>
      </c>
      <c r="P18" s="36"/>
    </row>
    <row r="19" spans="1:16" x14ac:dyDescent="0.3">
      <c r="A19" s="41"/>
      <c r="B19" s="36"/>
      <c r="C19" s="52">
        <v>-9.9999999999997868E-3</v>
      </c>
      <c r="D19" s="51">
        <v>-3.0500000000000007</v>
      </c>
      <c r="E19" s="51">
        <v>-0.72000000000000064</v>
      </c>
      <c r="F19" s="51">
        <v>26.14</v>
      </c>
      <c r="G19" s="51">
        <v>-9.0499999999999972</v>
      </c>
      <c r="H19" s="51">
        <v>19.8</v>
      </c>
      <c r="I19" s="37"/>
      <c r="J19" s="37"/>
      <c r="K19" s="37"/>
      <c r="L19" s="36"/>
      <c r="M19" s="36"/>
      <c r="N19" s="36"/>
      <c r="O19" s="45"/>
      <c r="P19" s="36"/>
    </row>
    <row r="20" spans="1:16" x14ac:dyDescent="0.3">
      <c r="A20" s="41"/>
      <c r="B20" s="46" t="s">
        <v>190</v>
      </c>
      <c r="C20" s="66">
        <v>4.83</v>
      </c>
      <c r="D20" s="65">
        <v>10</v>
      </c>
      <c r="E20" s="65">
        <v>10.5</v>
      </c>
      <c r="F20" s="65">
        <v>27</v>
      </c>
      <c r="G20" s="65">
        <v>30</v>
      </c>
      <c r="H20" s="65">
        <v>20</v>
      </c>
      <c r="I20" s="34" t="s">
        <v>11</v>
      </c>
      <c r="J20" s="34" t="s">
        <v>11</v>
      </c>
      <c r="K20" s="34" t="s">
        <v>11</v>
      </c>
      <c r="L20" s="36" t="s">
        <v>282</v>
      </c>
      <c r="M20" s="36"/>
      <c r="N20" s="36"/>
      <c r="O20" s="67" t="s">
        <v>255</v>
      </c>
      <c r="P20" s="36"/>
    </row>
    <row r="21" spans="1:16" x14ac:dyDescent="0.3">
      <c r="A21" s="41"/>
      <c r="B21" s="36"/>
      <c r="C21" s="52">
        <v>-9.9999999999997868E-3</v>
      </c>
      <c r="D21" s="51">
        <v>-3.0500000000000007</v>
      </c>
      <c r="E21" s="76">
        <v>-0.72000000000000064</v>
      </c>
      <c r="F21" s="51">
        <v>26.14</v>
      </c>
      <c r="G21" s="51">
        <v>-9.0499999999999972</v>
      </c>
      <c r="H21" s="51">
        <v>19.8</v>
      </c>
      <c r="I21" s="37"/>
      <c r="J21" s="37"/>
      <c r="K21" s="37"/>
      <c r="L21" s="36"/>
      <c r="M21" s="36"/>
      <c r="N21" s="36"/>
      <c r="O21" s="45"/>
      <c r="P21" s="36"/>
    </row>
    <row r="22" spans="1:16" x14ac:dyDescent="0.3">
      <c r="A22" s="41"/>
      <c r="B22" s="27" t="s">
        <v>290</v>
      </c>
      <c r="C22" s="20">
        <v>2.25</v>
      </c>
      <c r="D22" s="20">
        <v>1.5</v>
      </c>
      <c r="E22" s="21">
        <v>4</v>
      </c>
      <c r="F22" s="20">
        <v>0.5</v>
      </c>
      <c r="G22" s="20">
        <v>0.625</v>
      </c>
      <c r="H22" s="21" t="s">
        <v>11</v>
      </c>
      <c r="I22" s="21" t="s">
        <v>11</v>
      </c>
      <c r="J22" s="21" t="s">
        <v>11</v>
      </c>
      <c r="K22" s="21" t="s">
        <v>11</v>
      </c>
      <c r="L22" s="36" t="s">
        <v>325</v>
      </c>
      <c r="M22" s="36"/>
      <c r="N22" s="36"/>
      <c r="O22" s="43" t="s">
        <v>225</v>
      </c>
      <c r="P22" s="36"/>
    </row>
    <row r="23" spans="1:16" x14ac:dyDescent="0.3">
      <c r="A23" s="41"/>
      <c r="B23" s="36"/>
      <c r="C23" s="37"/>
      <c r="D23" s="37"/>
      <c r="E23" s="37"/>
      <c r="F23" s="37"/>
      <c r="G23" s="105"/>
      <c r="H23" s="37"/>
      <c r="I23" s="37"/>
      <c r="J23" s="37"/>
      <c r="K23" s="37"/>
      <c r="L23" s="36"/>
      <c r="M23" s="36"/>
      <c r="N23" s="36"/>
      <c r="O23" s="36"/>
      <c r="P23" s="36"/>
    </row>
    <row r="24" spans="1:16" x14ac:dyDescent="0.3">
      <c r="A24" s="41"/>
      <c r="B24" s="46" t="s">
        <v>190</v>
      </c>
      <c r="C24" s="65">
        <v>4.8600000000000003</v>
      </c>
      <c r="D24" s="65">
        <v>10</v>
      </c>
      <c r="E24" s="65">
        <v>10.5</v>
      </c>
      <c r="F24" s="65">
        <v>27</v>
      </c>
      <c r="G24" s="65">
        <v>30</v>
      </c>
      <c r="H24" s="65">
        <v>20</v>
      </c>
      <c r="I24" s="34" t="s">
        <v>11</v>
      </c>
      <c r="J24" s="34" t="s">
        <v>11</v>
      </c>
      <c r="K24" s="34" t="s">
        <v>11</v>
      </c>
      <c r="L24" s="36" t="s">
        <v>222</v>
      </c>
      <c r="M24" s="36"/>
      <c r="N24" s="36"/>
      <c r="O24" s="67" t="s">
        <v>255</v>
      </c>
      <c r="P24" s="36"/>
    </row>
    <row r="25" spans="1:16" x14ac:dyDescent="0.3">
      <c r="A25" s="44"/>
      <c r="B25" s="36"/>
      <c r="C25" s="51">
        <v>2.0000000000000462E-2</v>
      </c>
      <c r="D25" s="51">
        <v>-3.0500000000000007</v>
      </c>
      <c r="E25" s="76">
        <v>-0.72000000000000064</v>
      </c>
      <c r="F25" s="51">
        <v>26.14</v>
      </c>
      <c r="G25" s="51">
        <v>-9.0499999999999972</v>
      </c>
      <c r="H25" s="51">
        <v>19.8</v>
      </c>
      <c r="I25" s="37"/>
      <c r="J25" s="37"/>
      <c r="K25" s="37"/>
      <c r="L25" s="36"/>
      <c r="M25" s="37"/>
      <c r="N25" s="37"/>
      <c r="O25" s="37"/>
      <c r="P25" s="37"/>
    </row>
    <row r="26" spans="1:16" x14ac:dyDescent="0.3">
      <c r="B26" s="27" t="s">
        <v>290</v>
      </c>
      <c r="C26" s="20">
        <v>2.25</v>
      </c>
      <c r="D26" s="20">
        <v>1.5</v>
      </c>
      <c r="E26" s="21">
        <v>4</v>
      </c>
      <c r="F26" s="20">
        <v>0.5</v>
      </c>
      <c r="G26" s="20">
        <v>0.625</v>
      </c>
      <c r="H26" s="21" t="s">
        <v>11</v>
      </c>
      <c r="I26" s="21" t="s">
        <v>11</v>
      </c>
      <c r="J26" s="21" t="s">
        <v>11</v>
      </c>
      <c r="K26" s="21" t="s">
        <v>11</v>
      </c>
      <c r="L26" s="36"/>
      <c r="M26" s="37"/>
      <c r="N26" s="37"/>
      <c r="O26" s="43" t="s">
        <v>225</v>
      </c>
      <c r="P26" s="37"/>
    </row>
    <row r="27" spans="1:16" x14ac:dyDescent="0.3">
      <c r="A27" s="44"/>
      <c r="B27" s="36"/>
      <c r="C27" s="37"/>
      <c r="D27" s="37"/>
      <c r="E27" s="37"/>
      <c r="F27" s="37"/>
      <c r="G27" s="37"/>
      <c r="H27" s="37"/>
      <c r="I27" s="37"/>
      <c r="J27" s="37"/>
      <c r="K27" s="37"/>
      <c r="L27" s="36"/>
      <c r="M27" s="37"/>
      <c r="N27" s="37"/>
      <c r="O27" s="37"/>
      <c r="P27" s="37"/>
    </row>
    <row r="28" spans="1:16" x14ac:dyDescent="0.3">
      <c r="B28" s="46" t="s">
        <v>190</v>
      </c>
      <c r="C28" s="66">
        <v>4.83</v>
      </c>
      <c r="D28" s="65">
        <v>10</v>
      </c>
      <c r="E28" s="65">
        <v>10.5</v>
      </c>
      <c r="F28" s="65">
        <v>27</v>
      </c>
      <c r="G28" s="65">
        <v>30</v>
      </c>
      <c r="H28" s="65">
        <v>20</v>
      </c>
      <c r="I28" s="34" t="s">
        <v>11</v>
      </c>
      <c r="J28" s="34" t="s">
        <v>11</v>
      </c>
      <c r="K28" s="34" t="s">
        <v>11</v>
      </c>
      <c r="L28" s="36"/>
      <c r="M28" s="37"/>
      <c r="N28" s="37"/>
      <c r="O28" s="67" t="s">
        <v>255</v>
      </c>
      <c r="P28" s="37"/>
    </row>
    <row r="29" spans="1:16" x14ac:dyDescent="0.3">
      <c r="B29" s="36"/>
      <c r="C29" s="52">
        <v>-9.9999999999997868E-3</v>
      </c>
      <c r="D29" s="51">
        <v>-3.0500000000000007</v>
      </c>
      <c r="E29" s="51">
        <v>-0.72000000000000064</v>
      </c>
      <c r="F29" s="51">
        <v>26.14</v>
      </c>
      <c r="G29" s="51">
        <v>-9.0499999999999972</v>
      </c>
      <c r="H29" s="51">
        <v>19.8</v>
      </c>
      <c r="I29" s="37"/>
      <c r="J29" s="37"/>
      <c r="K29" s="37"/>
      <c r="L29" s="36"/>
      <c r="M29" s="37"/>
      <c r="N29" s="37"/>
      <c r="O29" s="37"/>
      <c r="P29" s="37"/>
    </row>
    <row r="30" spans="1:16" x14ac:dyDescent="0.3">
      <c r="B30" s="46" t="s">
        <v>190</v>
      </c>
      <c r="C30" s="66">
        <v>4.83</v>
      </c>
      <c r="D30" s="65">
        <v>10</v>
      </c>
      <c r="E30" s="65">
        <v>10.5</v>
      </c>
      <c r="F30" s="65">
        <v>27</v>
      </c>
      <c r="G30" s="65">
        <v>30</v>
      </c>
      <c r="H30" s="65">
        <v>20</v>
      </c>
      <c r="I30" s="34" t="s">
        <v>11</v>
      </c>
      <c r="J30" s="34" t="s">
        <v>11</v>
      </c>
      <c r="K30" s="34" t="s">
        <v>11</v>
      </c>
      <c r="L30" s="36"/>
      <c r="M30" s="37"/>
      <c r="N30" s="37"/>
      <c r="O30" s="67" t="s">
        <v>255</v>
      </c>
      <c r="P30" s="37"/>
    </row>
    <row r="31" spans="1:16" x14ac:dyDescent="0.3">
      <c r="B31" s="36"/>
      <c r="C31" s="52">
        <v>-9.9999999999997868E-3</v>
      </c>
      <c r="D31" s="51">
        <v>-3.0500000000000007</v>
      </c>
      <c r="E31" s="106">
        <v>-0.72000000000000064</v>
      </c>
      <c r="F31" s="51">
        <v>26.14</v>
      </c>
      <c r="G31" s="51">
        <v>-9.0499999999999972</v>
      </c>
      <c r="H31" s="51">
        <v>19.8</v>
      </c>
      <c r="I31" s="37"/>
      <c r="J31" s="37"/>
      <c r="K31" s="37"/>
      <c r="L31" s="36"/>
      <c r="M31" s="37"/>
      <c r="N31" s="37"/>
      <c r="O31" s="37"/>
      <c r="P31" s="37"/>
    </row>
    <row r="32" spans="1:16" x14ac:dyDescent="0.3">
      <c r="B32" s="27" t="s">
        <v>290</v>
      </c>
      <c r="C32" s="63">
        <v>2.2610000000000001</v>
      </c>
      <c r="D32" s="20">
        <v>1.5</v>
      </c>
      <c r="E32" s="21">
        <v>4</v>
      </c>
      <c r="F32" s="20">
        <v>0.5</v>
      </c>
      <c r="G32" s="20">
        <v>0.625</v>
      </c>
      <c r="H32" s="21" t="s">
        <v>11</v>
      </c>
      <c r="I32" s="21" t="s">
        <v>11</v>
      </c>
      <c r="J32" s="21" t="s">
        <v>11</v>
      </c>
      <c r="K32" s="21" t="s">
        <v>11</v>
      </c>
      <c r="L32" s="36" t="s">
        <v>254</v>
      </c>
      <c r="M32" s="37"/>
      <c r="N32" s="37"/>
      <c r="O32" s="43" t="s">
        <v>225</v>
      </c>
      <c r="P32" s="37"/>
    </row>
    <row r="33" spans="2:16" x14ac:dyDescent="0.3">
      <c r="B33" s="36"/>
      <c r="C33" s="52">
        <v>1.1000000000000121E-2</v>
      </c>
      <c r="D33" s="105"/>
      <c r="E33" s="105"/>
      <c r="F33" s="37"/>
      <c r="G33" s="37"/>
      <c r="H33" s="37"/>
      <c r="I33" s="37"/>
      <c r="J33" s="37"/>
      <c r="K33" s="37"/>
      <c r="L33" s="36"/>
      <c r="M33" s="37"/>
      <c r="N33" s="37"/>
      <c r="O33" s="37"/>
      <c r="P33" s="37"/>
    </row>
    <row r="34" spans="2:16" x14ac:dyDescent="0.3">
      <c r="B34" s="27" t="s">
        <v>290</v>
      </c>
      <c r="C34" s="20">
        <v>2.25</v>
      </c>
      <c r="D34" s="63">
        <v>1.51</v>
      </c>
      <c r="E34" s="21">
        <v>4</v>
      </c>
      <c r="F34" s="20">
        <v>0.5</v>
      </c>
      <c r="G34" s="20">
        <v>0.625</v>
      </c>
      <c r="H34" s="21" t="s">
        <v>11</v>
      </c>
      <c r="I34" s="21" t="s">
        <v>11</v>
      </c>
      <c r="J34" s="21" t="s">
        <v>11</v>
      </c>
      <c r="K34" s="21" t="s">
        <v>11</v>
      </c>
      <c r="L34" s="36" t="s">
        <v>254</v>
      </c>
      <c r="M34" s="37"/>
      <c r="N34" s="37"/>
      <c r="O34" s="43" t="s">
        <v>225</v>
      </c>
      <c r="P34" s="37"/>
    </row>
    <row r="35" spans="2:16" x14ac:dyDescent="0.3">
      <c r="B35" s="36"/>
      <c r="C35" s="37"/>
      <c r="D35" s="64">
        <v>1.0000000000000009E-2</v>
      </c>
      <c r="E35" s="37"/>
      <c r="F35" s="105"/>
      <c r="G35" s="105"/>
      <c r="H35" s="37"/>
      <c r="I35" s="37"/>
      <c r="J35" s="37"/>
      <c r="K35" s="37"/>
      <c r="L35" s="36"/>
      <c r="M35" s="37"/>
      <c r="N35" s="37"/>
      <c r="O35" s="37"/>
      <c r="P35" s="37"/>
    </row>
    <row r="36" spans="2:16" x14ac:dyDescent="0.3">
      <c r="B36" s="27" t="s">
        <v>290</v>
      </c>
      <c r="C36" s="20">
        <v>2.25</v>
      </c>
      <c r="D36" s="63">
        <v>1.51</v>
      </c>
      <c r="E36" s="21">
        <v>4</v>
      </c>
      <c r="F36" s="20">
        <v>0.5</v>
      </c>
      <c r="G36" s="20">
        <v>0.625</v>
      </c>
      <c r="H36" s="21" t="s">
        <v>11</v>
      </c>
      <c r="I36" s="21" t="s">
        <v>11</v>
      </c>
      <c r="J36" s="21" t="s">
        <v>11</v>
      </c>
      <c r="K36" s="21" t="s">
        <v>11</v>
      </c>
      <c r="L36" s="36" t="s">
        <v>222</v>
      </c>
      <c r="M36" s="37"/>
      <c r="N36" s="37"/>
      <c r="O36" s="43" t="s">
        <v>225</v>
      </c>
      <c r="P36" s="37"/>
    </row>
    <row r="37" spans="2:16" x14ac:dyDescent="0.3">
      <c r="B37" s="36"/>
      <c r="C37" s="37"/>
      <c r="D37" s="52">
        <v>1.0000000000000009E-2</v>
      </c>
      <c r="E37" s="105"/>
      <c r="F37" s="105"/>
      <c r="G37" s="37"/>
      <c r="H37" s="37"/>
      <c r="I37" s="37"/>
      <c r="J37" s="37"/>
      <c r="K37" s="37"/>
      <c r="L37" s="36"/>
      <c r="M37" s="37"/>
      <c r="N37" s="37"/>
      <c r="O37" s="37"/>
      <c r="P37" s="37"/>
    </row>
    <row r="38" spans="2:16" x14ac:dyDescent="0.3">
      <c r="B38" s="36"/>
      <c r="C38" s="36"/>
      <c r="D38" s="38"/>
      <c r="E38" s="36"/>
      <c r="F38" s="38"/>
      <c r="G38" s="36"/>
      <c r="H38" s="36"/>
      <c r="I38" s="36"/>
      <c r="J38" s="36"/>
      <c r="K38" s="36"/>
      <c r="L38" s="36"/>
      <c r="M38" s="37"/>
      <c r="N38" s="37"/>
      <c r="O38" s="37"/>
      <c r="P38" s="37"/>
    </row>
    <row r="39" spans="2:16" x14ac:dyDescent="0.3"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  <c r="N39" s="37"/>
      <c r="O39" s="37"/>
      <c r="P39" s="37"/>
    </row>
    <row r="40" spans="2:16" x14ac:dyDescent="0.3">
      <c r="B40" s="36"/>
      <c r="C40" s="36"/>
      <c r="D40" s="36"/>
      <c r="E40" s="38"/>
      <c r="F40" s="38"/>
      <c r="G40" s="36"/>
      <c r="H40" s="36"/>
      <c r="I40" s="36"/>
      <c r="J40" s="36"/>
      <c r="K40" s="36"/>
      <c r="L40" s="36"/>
      <c r="M40" s="37"/>
      <c r="N40" s="37"/>
      <c r="O40" s="37"/>
      <c r="P40" s="37"/>
    </row>
    <row r="41" spans="2:16" x14ac:dyDescent="0.3">
      <c r="B41" s="36"/>
      <c r="C41" s="36"/>
      <c r="D41" s="38"/>
      <c r="E41" s="38"/>
      <c r="F41" s="38"/>
      <c r="G41" s="36"/>
      <c r="H41" s="36"/>
      <c r="I41" s="36"/>
      <c r="J41" s="36"/>
      <c r="K41" s="36"/>
      <c r="L41" s="36"/>
      <c r="M41" s="37"/>
      <c r="N41" s="37"/>
      <c r="O41" s="37"/>
      <c r="P41" s="37"/>
    </row>
    <row r="42" spans="2:16" x14ac:dyDescent="0.3">
      <c r="B42" s="36"/>
      <c r="C42" s="36"/>
      <c r="D42" s="38"/>
      <c r="E42" s="38"/>
      <c r="F42" s="38"/>
      <c r="G42" s="38"/>
      <c r="H42" s="38"/>
      <c r="I42" s="36"/>
      <c r="J42" s="36"/>
      <c r="K42" s="36"/>
      <c r="L42" s="36"/>
      <c r="M42" s="37"/>
      <c r="N42" s="37"/>
      <c r="O42" s="37"/>
      <c r="P42" s="37"/>
    </row>
    <row r="43" spans="2:16" x14ac:dyDescent="0.3">
      <c r="B43" s="36"/>
      <c r="C43" s="36"/>
      <c r="D43" s="38"/>
      <c r="E43" s="38"/>
      <c r="F43" s="36"/>
      <c r="G43" s="38"/>
      <c r="H43" s="36"/>
      <c r="I43" s="36"/>
      <c r="J43" s="36"/>
      <c r="K43" s="36"/>
      <c r="L43" s="36"/>
      <c r="M43" s="37"/>
      <c r="N43" s="37"/>
      <c r="O43" s="37"/>
      <c r="P43" s="37"/>
    </row>
    <row r="44" spans="2:16" x14ac:dyDescent="0.3">
      <c r="B44" s="36"/>
      <c r="C44" s="36"/>
      <c r="D44" s="38"/>
      <c r="E44" s="38"/>
      <c r="F44" s="36"/>
      <c r="G44" s="36"/>
      <c r="H44" s="38"/>
      <c r="I44" s="38"/>
      <c r="J44" s="36"/>
      <c r="K44" s="36"/>
      <c r="L44" s="36"/>
      <c r="M44" s="37"/>
      <c r="N44" s="37"/>
      <c r="O44" s="37"/>
      <c r="P44" s="37"/>
    </row>
    <row r="45" spans="2:16" x14ac:dyDescent="0.3">
      <c r="B45" s="36"/>
      <c r="C45" s="36"/>
      <c r="D45" s="38"/>
      <c r="E45" s="38"/>
      <c r="F45" s="36"/>
      <c r="G45" s="36"/>
      <c r="H45" s="36"/>
      <c r="I45" s="36"/>
      <c r="J45" s="36"/>
      <c r="K45" s="36"/>
      <c r="L45" s="36"/>
      <c r="M45" s="37"/>
      <c r="N45" s="37"/>
      <c r="O45" s="37"/>
      <c r="P45" s="37"/>
    </row>
    <row r="46" spans="2:16" x14ac:dyDescent="0.3">
      <c r="B46" s="36"/>
      <c r="C46" s="36"/>
      <c r="D46" s="38"/>
      <c r="E46" s="36"/>
      <c r="F46" s="38"/>
      <c r="G46" s="36"/>
      <c r="H46" s="36"/>
      <c r="I46" s="36"/>
      <c r="J46" s="36"/>
      <c r="K46" s="36"/>
      <c r="L46" s="36"/>
      <c r="M46" s="37"/>
      <c r="N46" s="37"/>
      <c r="O46" s="37"/>
      <c r="P46" s="37"/>
    </row>
    <row r="47" spans="2:16" x14ac:dyDescent="0.3">
      <c r="B47" s="36"/>
      <c r="C47" s="36"/>
      <c r="D47" s="38"/>
      <c r="E47" s="36"/>
      <c r="F47" s="38"/>
      <c r="G47" s="36"/>
      <c r="H47" s="36"/>
      <c r="I47" s="36"/>
      <c r="J47" s="36"/>
      <c r="K47" s="36"/>
      <c r="L47" s="36"/>
      <c r="M47" s="37"/>
      <c r="N47" s="37"/>
      <c r="O47" s="37"/>
      <c r="P47" s="37"/>
    </row>
    <row r="48" spans="2:16" x14ac:dyDescent="0.3">
      <c r="B48" s="36"/>
      <c r="C48" s="36"/>
      <c r="D48" s="38"/>
      <c r="E48" s="38"/>
      <c r="F48" s="38"/>
      <c r="G48" s="36"/>
      <c r="H48" s="36"/>
      <c r="I48" s="36"/>
      <c r="J48" s="36"/>
      <c r="K48" s="36"/>
      <c r="L48" s="36"/>
      <c r="M48" s="37"/>
      <c r="N48" s="37"/>
      <c r="O48" s="37"/>
      <c r="P48" s="37"/>
    </row>
    <row r="49" spans="2:16" x14ac:dyDescent="0.3">
      <c r="B49" s="36"/>
      <c r="C49" s="36"/>
      <c r="D49" s="36"/>
      <c r="E49" s="36"/>
      <c r="F49" s="36"/>
      <c r="G49" s="38"/>
      <c r="H49" s="38"/>
      <c r="I49" s="38"/>
      <c r="J49" s="36"/>
      <c r="K49" s="36"/>
      <c r="L49" s="36"/>
      <c r="M49" s="37"/>
      <c r="N49" s="37"/>
      <c r="O49" s="37"/>
      <c r="P49" s="37"/>
    </row>
    <row r="50" spans="2:16" x14ac:dyDescent="0.3">
      <c r="B50" s="36"/>
      <c r="C50" s="36"/>
      <c r="D50" s="38"/>
      <c r="E50" s="38"/>
      <c r="F50" s="38"/>
      <c r="G50" s="36"/>
      <c r="H50" s="36"/>
      <c r="I50" s="36"/>
      <c r="J50" s="36"/>
      <c r="K50" s="36"/>
      <c r="L50" s="36"/>
      <c r="M50" s="37"/>
      <c r="N50" s="37"/>
      <c r="O50" s="37"/>
      <c r="P50" s="37"/>
    </row>
    <row r="51" spans="2:16" x14ac:dyDescent="0.3">
      <c r="B51" s="36"/>
      <c r="C51" s="36"/>
      <c r="D51" s="36"/>
      <c r="E51" s="38"/>
      <c r="F51" s="38"/>
      <c r="G51" s="36"/>
      <c r="H51" s="36"/>
      <c r="I51" s="36"/>
      <c r="J51" s="36"/>
      <c r="K51" s="36"/>
      <c r="L51" s="36"/>
      <c r="M51" s="37"/>
      <c r="N51" s="37"/>
      <c r="O51" s="37"/>
      <c r="P51" s="37"/>
    </row>
    <row r="52" spans="2:16" x14ac:dyDescent="0.3">
      <c r="B52" s="36"/>
      <c r="C52" s="36"/>
      <c r="D52" s="38"/>
      <c r="E52" s="38"/>
      <c r="F52" s="38"/>
      <c r="G52" s="36"/>
      <c r="H52" s="36"/>
      <c r="I52" s="36"/>
      <c r="J52" s="36"/>
      <c r="K52" s="36"/>
      <c r="L52" s="36"/>
      <c r="M52" s="37"/>
      <c r="N52" s="37"/>
      <c r="O52" s="37"/>
      <c r="P52" s="37"/>
    </row>
    <row r="53" spans="2:16" x14ac:dyDescent="0.3">
      <c r="B53" s="36"/>
      <c r="C53" s="36"/>
      <c r="D53" s="38"/>
      <c r="E53" s="36"/>
      <c r="F53" s="38"/>
      <c r="G53" s="36"/>
      <c r="H53" s="36"/>
      <c r="I53" s="36"/>
      <c r="J53" s="36"/>
      <c r="K53" s="36"/>
      <c r="L53" s="36"/>
      <c r="M53" s="37"/>
      <c r="N53" s="37"/>
      <c r="O53" s="37"/>
      <c r="P53" s="37"/>
    </row>
    <row r="54" spans="2:16" x14ac:dyDescent="0.3">
      <c r="B54" s="36"/>
      <c r="C54" s="36"/>
      <c r="D54" s="38"/>
      <c r="E54" s="38"/>
      <c r="F54" s="38"/>
      <c r="G54" s="36"/>
      <c r="H54" s="36"/>
      <c r="I54" s="36"/>
      <c r="J54" s="36"/>
      <c r="K54" s="36"/>
      <c r="L54" s="36"/>
      <c r="M54" s="37"/>
      <c r="N54" s="37"/>
      <c r="O54" s="37"/>
      <c r="P54" s="37"/>
    </row>
    <row r="55" spans="2:16" x14ac:dyDescent="0.3">
      <c r="B55" s="36"/>
      <c r="C55" s="36"/>
      <c r="D55" s="38"/>
      <c r="E55" s="38"/>
      <c r="F55" s="38"/>
      <c r="G55" s="36"/>
      <c r="H55" s="36"/>
      <c r="I55" s="36"/>
      <c r="J55" s="36"/>
      <c r="K55" s="36"/>
      <c r="L55" s="36"/>
      <c r="M55" s="37"/>
      <c r="N55" s="37"/>
      <c r="O55" s="37"/>
      <c r="P55" s="37"/>
    </row>
    <row r="56" spans="2:16" x14ac:dyDescent="0.3">
      <c r="B56" s="36"/>
      <c r="C56" s="36"/>
      <c r="D56" s="38"/>
      <c r="E56" s="38"/>
      <c r="F56" s="38"/>
      <c r="G56" s="36"/>
      <c r="H56" s="36"/>
      <c r="I56" s="36"/>
      <c r="J56" s="36"/>
      <c r="K56" s="36"/>
      <c r="L56" s="36"/>
      <c r="M56" s="37"/>
      <c r="N56" s="37"/>
      <c r="O56" s="37"/>
      <c r="P56" s="37"/>
    </row>
    <row r="57" spans="2:16" x14ac:dyDescent="0.3">
      <c r="B57" s="36"/>
      <c r="C57" s="36"/>
      <c r="D57" s="36"/>
      <c r="E57" s="36"/>
      <c r="F57" s="38"/>
      <c r="G57" s="38"/>
      <c r="H57" s="38"/>
      <c r="I57" s="36"/>
      <c r="J57" s="36"/>
      <c r="K57" s="38"/>
      <c r="L57" s="36"/>
      <c r="M57" s="37"/>
      <c r="N57" s="37"/>
      <c r="O57" s="37"/>
      <c r="P57" s="37"/>
    </row>
    <row r="58" spans="2:16" x14ac:dyDescent="0.3">
      <c r="B58" s="36"/>
      <c r="C58" s="36"/>
      <c r="D58" s="38"/>
      <c r="E58" s="38"/>
      <c r="F58" s="38"/>
      <c r="G58" s="38"/>
      <c r="H58" s="36"/>
      <c r="I58" s="36"/>
      <c r="J58" s="36"/>
      <c r="K58" s="36"/>
      <c r="L58" s="36"/>
      <c r="M58" s="37"/>
      <c r="N58" s="37"/>
      <c r="O58" s="37"/>
      <c r="P58" s="37"/>
    </row>
    <row r="59" spans="2:16" x14ac:dyDescent="0.3">
      <c r="B59" s="36"/>
      <c r="C59" s="36"/>
      <c r="D59" s="38"/>
      <c r="E59" s="38"/>
      <c r="F59" s="38"/>
      <c r="G59" s="36"/>
      <c r="H59" s="36"/>
      <c r="I59" s="36"/>
      <c r="J59" s="36"/>
      <c r="K59" s="36"/>
      <c r="L59" s="36"/>
      <c r="M59" s="37"/>
      <c r="N59" s="37"/>
      <c r="O59" s="37"/>
      <c r="P59" s="37"/>
    </row>
    <row r="60" spans="2:16" x14ac:dyDescent="0.3">
      <c r="B60" s="36"/>
      <c r="C60" s="36"/>
      <c r="D60" s="36"/>
      <c r="E60" s="36"/>
      <c r="F60" s="38"/>
      <c r="G60" s="36"/>
      <c r="H60" s="36"/>
      <c r="I60" s="36"/>
      <c r="J60" s="36"/>
      <c r="K60" s="36"/>
      <c r="L60" s="36"/>
      <c r="M60" s="37"/>
      <c r="N60" s="37"/>
      <c r="O60" s="37"/>
      <c r="P60" s="37"/>
    </row>
    <row r="61" spans="2:16" x14ac:dyDescent="0.3">
      <c r="B61" s="36"/>
      <c r="C61" s="36"/>
      <c r="D61" s="38"/>
      <c r="E61" s="36"/>
      <c r="F61" s="38"/>
      <c r="G61" s="36"/>
      <c r="H61" s="36"/>
      <c r="I61" s="36"/>
      <c r="J61" s="36"/>
      <c r="K61" s="36"/>
      <c r="L61" s="36"/>
      <c r="M61" s="37"/>
      <c r="N61" s="37"/>
      <c r="O61" s="37"/>
      <c r="P61" s="37"/>
    </row>
    <row r="62" spans="2:16" x14ac:dyDescent="0.3">
      <c r="B62" s="36"/>
      <c r="C62" s="36"/>
      <c r="D62" s="36"/>
      <c r="E62" s="38"/>
      <c r="F62" s="38"/>
      <c r="G62" s="38"/>
      <c r="H62" s="36"/>
      <c r="I62" s="36"/>
      <c r="J62" s="36"/>
      <c r="K62" s="36"/>
      <c r="L62" s="36"/>
      <c r="M62" s="37"/>
      <c r="N62" s="37"/>
      <c r="O62" s="37"/>
      <c r="P62" s="37"/>
    </row>
    <row r="63" spans="2:16" x14ac:dyDescent="0.3">
      <c r="B63" s="36"/>
      <c r="C63" s="36"/>
      <c r="D63" s="38"/>
      <c r="E63" s="36"/>
      <c r="F63" s="38"/>
      <c r="G63" s="36"/>
      <c r="H63" s="36"/>
      <c r="I63" s="36"/>
      <c r="J63" s="36"/>
      <c r="K63" s="36"/>
      <c r="L63" s="36"/>
      <c r="M63" s="37"/>
      <c r="N63" s="37"/>
      <c r="O63" s="37"/>
      <c r="P63" s="37"/>
    </row>
    <row r="64" spans="2:16" x14ac:dyDescent="0.3">
      <c r="B64" s="36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7"/>
      <c r="N64" s="37"/>
      <c r="O64" s="37"/>
      <c r="P64" s="37"/>
    </row>
    <row r="65" spans="2:16" x14ac:dyDescent="0.3">
      <c r="B65" s="36"/>
      <c r="C65" s="36"/>
      <c r="D65" s="36"/>
      <c r="E65" s="36"/>
      <c r="F65" s="38"/>
      <c r="G65" s="36"/>
      <c r="H65" s="36"/>
      <c r="I65" s="36"/>
      <c r="J65" s="36"/>
      <c r="K65" s="36"/>
      <c r="L65" s="36"/>
      <c r="M65" s="37"/>
      <c r="N65" s="37"/>
      <c r="O65" s="37"/>
      <c r="P65" s="37"/>
    </row>
    <row r="66" spans="2:16" x14ac:dyDescent="0.3">
      <c r="B66" s="36"/>
      <c r="C66" s="36"/>
      <c r="D66" s="36"/>
      <c r="E66" s="36"/>
      <c r="F66" s="38"/>
      <c r="G66" s="36"/>
      <c r="H66" s="36"/>
      <c r="I66" s="36"/>
      <c r="J66" s="36"/>
      <c r="K66" s="36"/>
      <c r="L66" s="36"/>
      <c r="M66" s="37"/>
      <c r="N66" s="37"/>
      <c r="O66" s="37"/>
      <c r="P66" s="37"/>
    </row>
    <row r="67" spans="2:16" x14ac:dyDescent="0.3">
      <c r="B67" s="36"/>
      <c r="C67" s="36"/>
      <c r="D67" s="38"/>
      <c r="E67" s="36"/>
      <c r="F67" s="38"/>
      <c r="G67" s="38"/>
      <c r="H67" s="36"/>
      <c r="I67" s="36"/>
      <c r="J67" s="36"/>
      <c r="K67" s="36"/>
      <c r="L67" s="36"/>
      <c r="M67" s="37"/>
      <c r="N67" s="37"/>
      <c r="O67" s="37"/>
      <c r="P67" s="37"/>
    </row>
    <row r="68" spans="2:16" x14ac:dyDescent="0.3">
      <c r="B68" s="36"/>
      <c r="C68" s="36"/>
      <c r="D68" s="38"/>
      <c r="E68" s="38"/>
      <c r="F68" s="36"/>
      <c r="G68" s="38"/>
      <c r="H68" s="36"/>
      <c r="I68" s="36"/>
      <c r="J68" s="36"/>
      <c r="K68" s="36"/>
      <c r="L68" s="36"/>
      <c r="M68" s="37"/>
      <c r="N68" s="37"/>
      <c r="O68" s="37"/>
      <c r="P68" s="37"/>
    </row>
    <row r="69" spans="2:16" x14ac:dyDescent="0.3">
      <c r="B69" s="36"/>
      <c r="C69" s="36"/>
      <c r="D69" s="38"/>
      <c r="E69" s="38"/>
      <c r="F69" s="38"/>
      <c r="G69" s="36"/>
      <c r="H69" s="36"/>
      <c r="I69" s="36"/>
      <c r="J69" s="36"/>
      <c r="K69" s="36"/>
      <c r="L69" s="36"/>
      <c r="M69" s="37"/>
      <c r="N69" s="37"/>
      <c r="O69" s="37"/>
      <c r="P69" s="37"/>
    </row>
    <row r="70" spans="2:16" x14ac:dyDescent="0.3">
      <c r="B70" s="36"/>
      <c r="C70" s="36"/>
      <c r="D70" s="36"/>
      <c r="E70" s="38"/>
      <c r="F70" s="38"/>
      <c r="G70" s="36"/>
      <c r="H70" s="36"/>
      <c r="I70" s="36"/>
      <c r="J70" s="36"/>
      <c r="K70" s="36"/>
      <c r="L70" s="36"/>
      <c r="M70" s="37"/>
      <c r="N70" s="37"/>
      <c r="O70" s="37"/>
      <c r="P70" s="37"/>
    </row>
    <row r="71" spans="2:16" x14ac:dyDescent="0.3">
      <c r="B71" s="36"/>
      <c r="C71" s="36"/>
      <c r="D71" s="38"/>
      <c r="E71" s="36"/>
      <c r="F71" s="36"/>
      <c r="G71" s="36"/>
      <c r="H71" s="36"/>
      <c r="I71" s="36"/>
      <c r="J71" s="36"/>
      <c r="K71" s="36"/>
      <c r="L71" s="36"/>
      <c r="M71" s="37"/>
      <c r="N71" s="37"/>
      <c r="O71" s="37"/>
      <c r="P71" s="37"/>
    </row>
    <row r="72" spans="2:16" x14ac:dyDescent="0.3">
      <c r="B72" s="36"/>
      <c r="C72" s="36"/>
      <c r="D72" s="38"/>
      <c r="E72" s="36"/>
      <c r="F72" s="38"/>
      <c r="G72" s="36"/>
      <c r="H72" s="36"/>
      <c r="I72" s="36"/>
      <c r="J72" s="36"/>
      <c r="K72" s="36"/>
      <c r="L72" s="36"/>
      <c r="M72" s="37"/>
      <c r="N72" s="37"/>
      <c r="O72" s="37"/>
      <c r="P72" s="37"/>
    </row>
    <row r="73" spans="2:16" x14ac:dyDescent="0.3">
      <c r="B73" s="36"/>
      <c r="C73" s="36"/>
      <c r="D73" s="38"/>
      <c r="E73" s="38"/>
      <c r="F73" s="36"/>
      <c r="G73" s="36"/>
      <c r="H73" s="36"/>
      <c r="I73" s="36"/>
      <c r="J73" s="36"/>
      <c r="K73" s="36"/>
      <c r="L73" s="36"/>
      <c r="M73" s="37"/>
      <c r="N73" s="37"/>
      <c r="O73" s="37"/>
      <c r="P73" s="37"/>
    </row>
    <row r="74" spans="2:16" x14ac:dyDescent="0.3"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7"/>
      <c r="N74" s="37"/>
      <c r="O74" s="37"/>
      <c r="P74" s="37"/>
    </row>
    <row r="75" spans="2:16" x14ac:dyDescent="0.3">
      <c r="B75" s="36"/>
      <c r="C75" s="36"/>
      <c r="D75" s="38"/>
      <c r="E75" s="38"/>
      <c r="F75" s="36"/>
      <c r="G75" s="36"/>
      <c r="H75" s="36"/>
      <c r="I75" s="36"/>
      <c r="J75" s="36"/>
      <c r="K75" s="36"/>
      <c r="L75" s="36"/>
      <c r="M75" s="37"/>
      <c r="N75" s="37"/>
      <c r="O75" s="37"/>
      <c r="P75" s="37"/>
    </row>
    <row r="76" spans="2:16" x14ac:dyDescent="0.3">
      <c r="B76" s="36"/>
      <c r="C76" s="36"/>
      <c r="D76" s="38"/>
      <c r="E76" s="36"/>
      <c r="F76" s="36"/>
      <c r="G76" s="36"/>
      <c r="H76" s="36"/>
      <c r="I76" s="36"/>
      <c r="J76" s="36"/>
      <c r="K76" s="36"/>
      <c r="L76" s="36"/>
      <c r="M76" s="37"/>
      <c r="N76" s="37"/>
      <c r="O76" s="37"/>
      <c r="P76" s="37"/>
    </row>
    <row r="77" spans="2:16" x14ac:dyDescent="0.3">
      <c r="B77" s="36"/>
      <c r="C77" s="36"/>
      <c r="D77" s="38"/>
      <c r="E77" s="36"/>
      <c r="F77" s="36"/>
      <c r="G77" s="36"/>
      <c r="H77" s="36"/>
      <c r="I77" s="36"/>
      <c r="J77" s="36"/>
      <c r="K77" s="36"/>
      <c r="L77" s="36"/>
      <c r="M77" s="37"/>
      <c r="N77" s="37"/>
      <c r="O77" s="37"/>
      <c r="P77" s="37"/>
    </row>
    <row r="78" spans="2:16" x14ac:dyDescent="0.3">
      <c r="B78" s="36"/>
      <c r="C78" s="36"/>
      <c r="D78" s="36"/>
      <c r="E78" s="36"/>
      <c r="F78" s="38"/>
      <c r="G78" s="36"/>
      <c r="H78" s="36"/>
      <c r="I78" s="36"/>
      <c r="J78" s="36"/>
      <c r="K78" s="36"/>
      <c r="L78" s="36"/>
      <c r="M78" s="37"/>
      <c r="N78" s="37"/>
      <c r="O78" s="37"/>
      <c r="P78" s="37"/>
    </row>
    <row r="79" spans="2:16" x14ac:dyDescent="0.3">
      <c r="B79" s="36"/>
      <c r="C79" s="36"/>
      <c r="D79" s="36"/>
      <c r="E79" s="38"/>
      <c r="F79" s="38"/>
      <c r="G79" s="38"/>
      <c r="H79" s="36"/>
      <c r="I79" s="38"/>
      <c r="J79" s="36"/>
      <c r="K79" s="36"/>
      <c r="L79" s="36"/>
      <c r="M79" s="37"/>
      <c r="N79" s="37"/>
      <c r="O79" s="37"/>
      <c r="P79" s="37"/>
    </row>
    <row r="80" spans="2:16" x14ac:dyDescent="0.3">
      <c r="B80" s="36"/>
      <c r="C80" s="36"/>
      <c r="D80" s="38"/>
      <c r="E80" s="36"/>
      <c r="F80" s="38"/>
      <c r="G80" s="36"/>
      <c r="H80" s="36"/>
      <c r="I80" s="36"/>
      <c r="J80" s="36"/>
      <c r="K80" s="36"/>
      <c r="L80" s="36"/>
      <c r="M80" s="37"/>
      <c r="N80" s="37"/>
      <c r="O80" s="37"/>
      <c r="P80" s="37"/>
    </row>
    <row r="81" spans="2:16" x14ac:dyDescent="0.3">
      <c r="B81" s="36"/>
      <c r="C81" s="36"/>
      <c r="D81" s="38"/>
      <c r="E81" s="36"/>
      <c r="F81" s="38"/>
      <c r="G81" s="38"/>
      <c r="H81" s="36"/>
      <c r="I81" s="36"/>
      <c r="J81" s="36"/>
      <c r="K81" s="36"/>
      <c r="L81" s="36"/>
      <c r="M81" s="37"/>
      <c r="N81" s="37"/>
      <c r="O81" s="37"/>
      <c r="P81" s="37"/>
    </row>
    <row r="82" spans="2:16" x14ac:dyDescent="0.3">
      <c r="B82" s="36"/>
      <c r="C82" s="36"/>
      <c r="D82" s="36"/>
      <c r="E82" s="36"/>
      <c r="F82" s="38"/>
      <c r="G82" s="36"/>
      <c r="H82" s="36"/>
      <c r="I82" s="36"/>
      <c r="J82" s="36"/>
      <c r="K82" s="36"/>
      <c r="L82" s="36"/>
      <c r="M82" s="37"/>
      <c r="N82" s="37"/>
      <c r="O82" s="37"/>
      <c r="P82" s="37"/>
    </row>
    <row r="83" spans="2:16" x14ac:dyDescent="0.3">
      <c r="B83" s="36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7"/>
      <c r="N83" s="37"/>
      <c r="O83" s="37"/>
      <c r="P83" s="37"/>
    </row>
    <row r="84" spans="2:16" x14ac:dyDescent="0.3">
      <c r="B84" s="36"/>
      <c r="C84" s="36"/>
      <c r="D84" s="36"/>
      <c r="E84" s="38"/>
      <c r="F84" s="38"/>
      <c r="G84" s="38"/>
      <c r="H84" s="36"/>
      <c r="I84" s="36"/>
      <c r="J84" s="36"/>
      <c r="K84" s="36"/>
      <c r="L84" s="36"/>
      <c r="M84" s="37"/>
      <c r="N84" s="37"/>
      <c r="O84" s="37"/>
      <c r="P84" s="37"/>
    </row>
    <row r="85" spans="2:16" x14ac:dyDescent="0.3">
      <c r="B85" s="36"/>
      <c r="C85" s="36"/>
      <c r="D85" s="36"/>
      <c r="E85" s="38"/>
      <c r="F85" s="38"/>
      <c r="G85" s="38"/>
      <c r="H85" s="36"/>
      <c r="I85" s="36"/>
      <c r="J85" s="36"/>
      <c r="K85" s="36"/>
      <c r="L85" s="36"/>
      <c r="M85" s="37"/>
      <c r="N85" s="37"/>
      <c r="O85" s="37"/>
      <c r="P85" s="37"/>
    </row>
    <row r="86" spans="2:16" x14ac:dyDescent="0.3">
      <c r="B86" s="36"/>
      <c r="C86" s="36"/>
      <c r="D86" s="38"/>
      <c r="E86" s="38"/>
      <c r="F86" s="38"/>
      <c r="G86" s="36"/>
      <c r="H86" s="36"/>
      <c r="I86" s="36"/>
      <c r="J86" s="36"/>
      <c r="K86" s="36"/>
      <c r="L86" s="36"/>
      <c r="M86" s="37"/>
      <c r="N86" s="37"/>
      <c r="O86" s="37"/>
      <c r="P86" s="37"/>
    </row>
    <row r="87" spans="2:16" x14ac:dyDescent="0.3">
      <c r="B87" s="36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7"/>
      <c r="N87" s="37"/>
      <c r="O87" s="37"/>
      <c r="P87" s="37"/>
    </row>
    <row r="88" spans="2:16" x14ac:dyDescent="0.3">
      <c r="B88" s="36"/>
      <c r="C88" s="36"/>
      <c r="D88" s="36"/>
      <c r="E88" s="38"/>
      <c r="F88" s="38"/>
      <c r="G88" s="38"/>
      <c r="H88" s="36"/>
      <c r="I88" s="36"/>
      <c r="J88" s="36"/>
      <c r="K88" s="36"/>
      <c r="L88" s="36"/>
      <c r="M88" s="37"/>
      <c r="N88" s="37"/>
      <c r="O88" s="37"/>
      <c r="P88" s="37"/>
    </row>
    <row r="89" spans="2:16" x14ac:dyDescent="0.3"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7"/>
      <c r="N89" s="37"/>
      <c r="O89" s="37"/>
      <c r="P89" s="37"/>
    </row>
    <row r="90" spans="2:16" x14ac:dyDescent="0.3">
      <c r="B90" s="36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7"/>
      <c r="N90" s="37"/>
      <c r="O90" s="37"/>
      <c r="P90" s="37"/>
    </row>
    <row r="91" spans="2:16" x14ac:dyDescent="0.3"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7"/>
      <c r="N91" s="37"/>
      <c r="O91" s="37"/>
      <c r="P91" s="37"/>
    </row>
    <row r="92" spans="2:16" x14ac:dyDescent="0.3">
      <c r="B92" s="36"/>
      <c r="C92" s="36"/>
      <c r="D92" s="36"/>
      <c r="E92" s="36"/>
      <c r="F92" s="38"/>
      <c r="G92" s="36"/>
      <c r="H92" s="36"/>
      <c r="I92" s="36"/>
      <c r="J92" s="36"/>
      <c r="K92" s="36"/>
      <c r="L92" s="36"/>
      <c r="M92" s="37"/>
      <c r="N92" s="37"/>
      <c r="O92" s="37"/>
      <c r="P92" s="37"/>
    </row>
    <row r="93" spans="2:16" x14ac:dyDescent="0.3"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7"/>
      <c r="N93" s="37"/>
      <c r="O93" s="37"/>
      <c r="P93" s="37"/>
    </row>
    <row r="94" spans="2:16" x14ac:dyDescent="0.3">
      <c r="B94" s="36"/>
      <c r="C94" s="36"/>
      <c r="D94" s="38"/>
      <c r="E94" s="36"/>
      <c r="F94" s="36"/>
      <c r="G94" s="36"/>
      <c r="H94" s="36"/>
      <c r="I94" s="36"/>
      <c r="J94" s="36"/>
      <c r="K94" s="36"/>
      <c r="L94" s="36"/>
      <c r="M94" s="37"/>
      <c r="N94" s="37"/>
      <c r="O94" s="37"/>
      <c r="P94" s="37"/>
    </row>
    <row r="95" spans="2:16" x14ac:dyDescent="0.3"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7"/>
      <c r="N95" s="37"/>
      <c r="O95" s="37"/>
      <c r="P95" s="37"/>
    </row>
    <row r="96" spans="2:16" x14ac:dyDescent="0.3">
      <c r="B96" s="36"/>
      <c r="C96" s="36"/>
      <c r="D96" s="38"/>
      <c r="E96" s="38"/>
      <c r="F96" s="38"/>
      <c r="G96" s="38"/>
      <c r="H96" s="36"/>
      <c r="I96" s="36"/>
      <c r="J96" s="36"/>
      <c r="K96" s="36"/>
      <c r="L96" s="36"/>
      <c r="M96" s="37"/>
      <c r="N96" s="37"/>
      <c r="O96" s="37"/>
      <c r="P96" s="37"/>
    </row>
    <row r="97" spans="2:16" x14ac:dyDescent="0.3">
      <c r="B97" s="36"/>
      <c r="C97" s="36"/>
      <c r="D97" s="38"/>
      <c r="E97" s="38"/>
      <c r="F97" s="38"/>
      <c r="G97" s="38"/>
      <c r="H97" s="36"/>
      <c r="I97" s="36"/>
      <c r="J97" s="36"/>
      <c r="K97" s="36"/>
      <c r="L97" s="36"/>
      <c r="M97" s="37"/>
      <c r="N97" s="37"/>
      <c r="O97" s="37"/>
      <c r="P97" s="37"/>
    </row>
    <row r="98" spans="2:16" x14ac:dyDescent="0.3">
      <c r="B98" s="36"/>
      <c r="C98" s="36"/>
      <c r="D98" s="38"/>
      <c r="E98" s="38"/>
      <c r="F98" s="38"/>
      <c r="G98" s="38"/>
      <c r="H98" s="36"/>
      <c r="I98" s="36"/>
      <c r="J98" s="36"/>
      <c r="K98" s="36"/>
      <c r="L98" s="36"/>
      <c r="M98" s="37"/>
      <c r="N98" s="37"/>
      <c r="O98" s="37"/>
      <c r="P98" s="37"/>
    </row>
    <row r="99" spans="2:16" x14ac:dyDescent="0.3">
      <c r="B99" s="36"/>
      <c r="C99" s="36"/>
      <c r="D99" s="38"/>
      <c r="E99" s="36"/>
      <c r="F99" s="36"/>
      <c r="G99" s="38"/>
      <c r="H99" s="38"/>
      <c r="I99" s="36"/>
      <c r="J99" s="36"/>
      <c r="K99" s="36"/>
      <c r="L99" s="36"/>
      <c r="M99" s="37"/>
      <c r="N99" s="37"/>
      <c r="O99" s="37"/>
      <c r="P99" s="37"/>
    </row>
    <row r="100" spans="2:16" x14ac:dyDescent="0.3">
      <c r="B100" s="36"/>
      <c r="C100" s="36"/>
      <c r="D100" s="38"/>
      <c r="E100" s="38"/>
      <c r="F100" s="36"/>
      <c r="G100" s="36"/>
      <c r="H100" s="38"/>
      <c r="I100" s="38"/>
      <c r="J100" s="36"/>
      <c r="K100" s="36"/>
      <c r="L100" s="36"/>
      <c r="M100" s="37"/>
      <c r="N100" s="37"/>
      <c r="O100" s="37"/>
      <c r="P100" s="37"/>
    </row>
    <row r="101" spans="2:16" x14ac:dyDescent="0.3">
      <c r="B101" s="36"/>
      <c r="C101" s="36"/>
      <c r="D101" s="38"/>
      <c r="E101" s="38"/>
      <c r="F101" s="36"/>
      <c r="G101" s="36"/>
      <c r="H101" s="36"/>
      <c r="I101" s="36"/>
      <c r="J101" s="36"/>
      <c r="K101" s="36"/>
      <c r="L101" s="36"/>
      <c r="M101" s="37"/>
      <c r="N101" s="37"/>
      <c r="O101" s="37"/>
      <c r="P101" s="37"/>
    </row>
    <row r="102" spans="2:16" x14ac:dyDescent="0.3">
      <c r="B102" s="36"/>
      <c r="C102" s="36"/>
      <c r="D102" s="38"/>
      <c r="E102" s="36"/>
      <c r="F102" s="38"/>
      <c r="G102" s="38"/>
      <c r="H102" s="38"/>
      <c r="I102" s="38"/>
      <c r="J102" s="36"/>
      <c r="K102" s="36"/>
      <c r="L102" s="36"/>
      <c r="M102" s="37"/>
      <c r="N102" s="37"/>
      <c r="O102" s="37"/>
      <c r="P102" s="37"/>
    </row>
    <row r="103" spans="2:16" x14ac:dyDescent="0.3">
      <c r="B103" s="36"/>
      <c r="C103" s="36"/>
      <c r="D103" s="36"/>
      <c r="E103" s="38"/>
      <c r="F103" s="38"/>
      <c r="G103" s="36"/>
      <c r="H103" s="36"/>
      <c r="I103" s="36"/>
      <c r="J103" s="36"/>
      <c r="K103" s="36"/>
      <c r="L103" s="36"/>
      <c r="M103" s="37"/>
      <c r="N103" s="37"/>
      <c r="O103" s="37"/>
      <c r="P103" s="37"/>
    </row>
    <row r="104" spans="2:16" x14ac:dyDescent="0.3">
      <c r="B104" s="36"/>
      <c r="C104" s="36"/>
      <c r="D104" s="38"/>
      <c r="E104" s="38"/>
      <c r="F104" s="36"/>
      <c r="G104" s="36"/>
      <c r="H104" s="36"/>
      <c r="I104" s="36"/>
      <c r="J104" s="36"/>
      <c r="K104" s="36"/>
      <c r="L104" s="36"/>
      <c r="M104" s="37"/>
      <c r="N104" s="37"/>
      <c r="O104" s="37"/>
      <c r="P104" s="37"/>
    </row>
    <row r="105" spans="2:16" x14ac:dyDescent="0.3">
      <c r="B105" s="36"/>
      <c r="C105" s="36"/>
      <c r="D105" s="38"/>
      <c r="E105" s="38"/>
      <c r="F105" s="36"/>
      <c r="G105" s="36"/>
      <c r="H105" s="36"/>
      <c r="I105" s="36"/>
      <c r="J105" s="36"/>
      <c r="K105" s="36"/>
      <c r="L105" s="36"/>
      <c r="M105" s="37"/>
      <c r="N105" s="37"/>
      <c r="O105" s="37"/>
      <c r="P105" s="37"/>
    </row>
    <row r="106" spans="2:16" x14ac:dyDescent="0.3">
      <c r="B106" s="36"/>
      <c r="C106" s="36"/>
      <c r="D106" s="38"/>
      <c r="E106" s="36"/>
      <c r="F106" s="38"/>
      <c r="G106" s="36"/>
      <c r="H106" s="36"/>
      <c r="I106" s="36"/>
      <c r="J106" s="36"/>
      <c r="K106" s="36"/>
      <c r="L106" s="36"/>
      <c r="M106" s="37"/>
      <c r="N106" s="37"/>
      <c r="O106" s="37"/>
      <c r="P106" s="37"/>
    </row>
    <row r="107" spans="2:16" x14ac:dyDescent="0.3">
      <c r="B107" s="36"/>
      <c r="C107" s="36"/>
      <c r="D107" s="38"/>
      <c r="E107" s="38"/>
      <c r="F107" s="36"/>
      <c r="G107" s="36"/>
      <c r="H107" s="36"/>
      <c r="I107" s="36"/>
      <c r="J107" s="36"/>
      <c r="K107" s="36"/>
      <c r="L107" s="36"/>
      <c r="M107" s="37"/>
      <c r="N107" s="37"/>
      <c r="O107" s="37"/>
      <c r="P107" s="37"/>
    </row>
    <row r="108" spans="2:16" x14ac:dyDescent="0.3">
      <c r="B108" s="36"/>
      <c r="C108" s="36"/>
      <c r="D108" s="38"/>
      <c r="E108" s="36"/>
      <c r="F108" s="38"/>
      <c r="G108" s="36"/>
      <c r="H108" s="36"/>
      <c r="I108" s="36"/>
      <c r="J108" s="36"/>
      <c r="K108" s="36"/>
      <c r="L108" s="36"/>
      <c r="M108" s="37"/>
      <c r="N108" s="37"/>
      <c r="O108" s="37"/>
      <c r="P108" s="37"/>
    </row>
    <row r="109" spans="2:16" x14ac:dyDescent="0.3">
      <c r="B109" s="36"/>
      <c r="C109" s="36"/>
      <c r="D109" s="36"/>
      <c r="E109" s="38"/>
      <c r="F109" s="38"/>
      <c r="G109" s="36"/>
      <c r="H109" s="36"/>
      <c r="I109" s="38"/>
      <c r="J109" s="36"/>
      <c r="K109" s="36"/>
      <c r="L109" s="36"/>
      <c r="M109" s="37"/>
      <c r="N109" s="37"/>
      <c r="O109" s="37"/>
      <c r="P109" s="37"/>
    </row>
    <row r="110" spans="2:16" x14ac:dyDescent="0.3">
      <c r="B110" s="36"/>
      <c r="C110" s="36"/>
      <c r="D110" s="38"/>
      <c r="E110" s="38"/>
      <c r="F110" s="38"/>
      <c r="G110" s="36"/>
      <c r="H110" s="38"/>
      <c r="I110" s="36"/>
      <c r="J110" s="36"/>
      <c r="K110" s="36"/>
      <c r="L110" s="36"/>
      <c r="M110" s="37"/>
      <c r="N110" s="37"/>
      <c r="O110" s="37"/>
      <c r="P110" s="37"/>
    </row>
    <row r="111" spans="2:16" x14ac:dyDescent="0.3">
      <c r="B111" s="36"/>
      <c r="C111" s="36"/>
      <c r="D111" s="36"/>
      <c r="E111" s="36"/>
      <c r="F111" s="38"/>
      <c r="G111" s="38"/>
      <c r="H111" s="38"/>
      <c r="I111" s="36"/>
      <c r="J111" s="36"/>
      <c r="K111" s="36"/>
      <c r="L111" s="36"/>
      <c r="M111" s="37"/>
      <c r="N111" s="37"/>
      <c r="O111" s="37"/>
      <c r="P111" s="37"/>
    </row>
    <row r="112" spans="2:16" x14ac:dyDescent="0.3">
      <c r="B112" s="36"/>
      <c r="C112" s="36"/>
      <c r="D112" s="36"/>
      <c r="E112" s="38"/>
      <c r="F112" s="36"/>
      <c r="G112" s="36"/>
      <c r="H112" s="36"/>
      <c r="I112" s="36"/>
      <c r="J112" s="36"/>
      <c r="K112" s="36"/>
      <c r="L112" s="36"/>
      <c r="M112" s="37"/>
      <c r="N112" s="37"/>
      <c r="O112" s="37"/>
      <c r="P112" s="37"/>
    </row>
    <row r="113" spans="2:16" x14ac:dyDescent="0.3">
      <c r="B113" s="36"/>
      <c r="C113" s="36"/>
      <c r="D113" s="36"/>
      <c r="E113" s="38"/>
      <c r="F113" s="36"/>
      <c r="G113" s="36"/>
      <c r="H113" s="36"/>
      <c r="I113" s="36"/>
      <c r="J113" s="36"/>
      <c r="K113" s="36"/>
      <c r="L113" s="36"/>
      <c r="M113" s="37"/>
      <c r="N113" s="37"/>
      <c r="O113" s="37"/>
      <c r="P113" s="37"/>
    </row>
    <row r="114" spans="2:16" x14ac:dyDescent="0.3">
      <c r="B114" s="36"/>
      <c r="C114" s="36"/>
      <c r="D114" s="36"/>
      <c r="E114" s="36"/>
      <c r="F114" s="38"/>
      <c r="G114" s="36"/>
      <c r="H114" s="36"/>
      <c r="I114" s="36"/>
      <c r="J114" s="36"/>
      <c r="K114" s="36"/>
      <c r="L114" s="36"/>
      <c r="M114" s="37"/>
      <c r="N114" s="37"/>
      <c r="O114" s="37"/>
      <c r="P114" s="37"/>
    </row>
    <row r="115" spans="2:16" x14ac:dyDescent="0.3">
      <c r="B115" s="36"/>
      <c r="C115" s="36"/>
      <c r="D115" s="36"/>
      <c r="E115" s="38"/>
      <c r="F115" s="38"/>
      <c r="G115" s="38"/>
      <c r="H115" s="38"/>
      <c r="I115" s="36"/>
      <c r="J115" s="36"/>
      <c r="K115" s="36"/>
      <c r="L115" s="36"/>
      <c r="M115" s="37"/>
      <c r="N115" s="37"/>
      <c r="O115" s="37"/>
      <c r="P115" s="37"/>
    </row>
    <row r="116" spans="2:16" x14ac:dyDescent="0.3">
      <c r="B116" s="36"/>
      <c r="C116" s="36"/>
      <c r="D116" s="38"/>
      <c r="E116" s="38"/>
      <c r="F116" s="38"/>
      <c r="G116" s="36"/>
      <c r="H116" s="36"/>
      <c r="I116" s="38"/>
      <c r="J116" s="36"/>
      <c r="K116" s="36"/>
      <c r="L116" s="36"/>
      <c r="M116" s="37"/>
      <c r="N116" s="37"/>
      <c r="O116" s="37"/>
      <c r="P116" s="37"/>
    </row>
    <row r="117" spans="2:16" x14ac:dyDescent="0.3">
      <c r="B117" s="36"/>
      <c r="C117" s="36"/>
      <c r="D117" s="38"/>
      <c r="E117" s="36"/>
      <c r="F117" s="38"/>
      <c r="G117" s="36"/>
      <c r="H117" s="36"/>
      <c r="I117" s="36"/>
      <c r="J117" s="36"/>
      <c r="K117" s="36"/>
      <c r="L117" s="36"/>
      <c r="M117" s="37"/>
      <c r="N117" s="37"/>
      <c r="O117" s="37"/>
      <c r="P117" s="37"/>
    </row>
    <row r="118" spans="2:16" x14ac:dyDescent="0.3">
      <c r="B118" s="36"/>
      <c r="C118" s="36"/>
      <c r="D118" s="38"/>
      <c r="E118" s="36"/>
      <c r="F118" s="38"/>
      <c r="G118" s="36"/>
      <c r="H118" s="36"/>
      <c r="I118" s="36"/>
      <c r="J118" s="36"/>
      <c r="K118" s="36"/>
      <c r="L118" s="36"/>
      <c r="M118" s="37"/>
      <c r="N118" s="37"/>
      <c r="O118" s="37"/>
      <c r="P118" s="37"/>
    </row>
    <row r="119" spans="2:16" x14ac:dyDescent="0.3">
      <c r="B119" s="36"/>
      <c r="C119" s="36"/>
      <c r="D119" s="36"/>
      <c r="E119" s="38"/>
      <c r="F119" s="38"/>
      <c r="G119" s="38"/>
      <c r="H119" s="36"/>
      <c r="I119" s="36"/>
      <c r="J119" s="36"/>
      <c r="K119" s="36"/>
      <c r="L119" s="36"/>
      <c r="M119" s="37"/>
      <c r="N119" s="37"/>
      <c r="O119" s="37"/>
      <c r="P119" s="37"/>
    </row>
    <row r="120" spans="2:16" x14ac:dyDescent="0.3">
      <c r="B120" s="36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7"/>
      <c r="N120" s="37"/>
      <c r="O120" s="37"/>
      <c r="P120" s="37"/>
    </row>
    <row r="121" spans="2:16" x14ac:dyDescent="0.3">
      <c r="B121" s="36"/>
      <c r="C121" s="36"/>
      <c r="D121" s="38"/>
      <c r="E121" s="38"/>
      <c r="F121" s="38"/>
      <c r="G121" s="36"/>
      <c r="H121" s="38"/>
      <c r="I121" s="36"/>
      <c r="J121" s="36"/>
      <c r="K121" s="36"/>
      <c r="L121" s="36"/>
      <c r="M121" s="37"/>
      <c r="N121" s="37"/>
      <c r="O121" s="37"/>
      <c r="P121" s="37"/>
    </row>
    <row r="122" spans="2:16" x14ac:dyDescent="0.3">
      <c r="B122" s="36"/>
      <c r="C122" s="36"/>
      <c r="D122" s="36"/>
      <c r="E122" s="36"/>
      <c r="F122" s="36"/>
      <c r="G122" s="38"/>
      <c r="H122" s="36"/>
      <c r="I122" s="36"/>
      <c r="J122" s="36"/>
      <c r="K122" s="36"/>
      <c r="L122" s="36"/>
      <c r="M122" s="37"/>
      <c r="N122" s="37"/>
      <c r="O122" s="37"/>
      <c r="P122" s="37"/>
    </row>
    <row r="123" spans="2:16" x14ac:dyDescent="0.3">
      <c r="B123" s="36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7"/>
      <c r="N123" s="37"/>
      <c r="O123" s="37"/>
      <c r="P123" s="37"/>
    </row>
    <row r="124" spans="2:16" x14ac:dyDescent="0.3">
      <c r="B124" s="36"/>
      <c r="C124" s="36"/>
      <c r="D124" s="38"/>
      <c r="E124" s="38"/>
      <c r="F124" s="38"/>
      <c r="G124" s="36"/>
      <c r="H124" s="36"/>
      <c r="I124" s="36"/>
      <c r="J124" s="36"/>
      <c r="K124" s="36"/>
      <c r="L124" s="36"/>
      <c r="M124" s="37"/>
      <c r="N124" s="37"/>
      <c r="O124" s="37"/>
      <c r="P124" s="37"/>
    </row>
    <row r="125" spans="2:16" x14ac:dyDescent="0.3">
      <c r="B125" s="36"/>
      <c r="C125" s="36"/>
      <c r="D125" s="38"/>
      <c r="E125" s="38"/>
      <c r="F125" s="38"/>
      <c r="G125" s="38"/>
      <c r="H125" s="38"/>
      <c r="I125" s="38"/>
      <c r="J125" s="38"/>
      <c r="K125" s="36"/>
      <c r="L125" s="36"/>
      <c r="M125" s="37"/>
      <c r="N125" s="37"/>
      <c r="O125" s="37"/>
      <c r="P125" s="37"/>
    </row>
    <row r="126" spans="2:16" x14ac:dyDescent="0.3">
      <c r="B126" s="36"/>
      <c r="C126" s="39"/>
      <c r="D126" s="38"/>
      <c r="E126" s="38"/>
      <c r="F126" s="38"/>
      <c r="G126" s="38"/>
      <c r="H126" s="36"/>
      <c r="I126" s="36"/>
      <c r="J126" s="36"/>
      <c r="K126" s="36"/>
      <c r="L126" s="36"/>
      <c r="M126" s="37"/>
      <c r="N126" s="37"/>
      <c r="O126" s="37"/>
      <c r="P126" s="37"/>
    </row>
    <row r="127" spans="2:16" x14ac:dyDescent="0.3">
      <c r="B127" s="36"/>
      <c r="C127" s="36"/>
      <c r="D127" s="38"/>
      <c r="E127" s="38"/>
      <c r="F127" s="36"/>
      <c r="G127" s="36"/>
      <c r="H127" s="36"/>
      <c r="I127" s="36"/>
      <c r="J127" s="36"/>
      <c r="K127" s="36"/>
      <c r="L127" s="36"/>
      <c r="M127" s="37"/>
      <c r="N127" s="37"/>
      <c r="O127" s="37"/>
      <c r="P127" s="37"/>
    </row>
    <row r="128" spans="2:16" x14ac:dyDescent="0.3"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</row>
    <row r="129" spans="2:16" x14ac:dyDescent="0.3"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</row>
    <row r="130" spans="2:16" x14ac:dyDescent="0.3"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</row>
    <row r="131" spans="2:16" x14ac:dyDescent="0.3"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</row>
    <row r="132" spans="2:16" x14ac:dyDescent="0.3"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</row>
    <row r="133" spans="2:16" x14ac:dyDescent="0.3"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</row>
    <row r="134" spans="2:16" x14ac:dyDescent="0.3"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</row>
    <row r="135" spans="2:16" x14ac:dyDescent="0.3"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</row>
    <row r="136" spans="2:16" x14ac:dyDescent="0.3"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</row>
    <row r="137" spans="2:16" x14ac:dyDescent="0.3"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</row>
    <row r="138" spans="2:16" x14ac:dyDescent="0.3"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</row>
    <row r="139" spans="2:16" x14ac:dyDescent="0.3"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</row>
    <row r="140" spans="2:16" x14ac:dyDescent="0.3"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</row>
    <row r="141" spans="2:16" x14ac:dyDescent="0.3"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</row>
    <row r="142" spans="2:16" x14ac:dyDescent="0.3"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</row>
    <row r="143" spans="2:16" x14ac:dyDescent="0.3"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</row>
    <row r="144" spans="2:16" x14ac:dyDescent="0.3"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</row>
    <row r="145" spans="2:16" x14ac:dyDescent="0.3"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</row>
    <row r="146" spans="2:16" x14ac:dyDescent="0.3"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</row>
    <row r="147" spans="2:16" x14ac:dyDescent="0.3"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</row>
    <row r="148" spans="2:16" x14ac:dyDescent="0.3"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</row>
    <row r="149" spans="2:16" x14ac:dyDescent="0.3"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</row>
    <row r="150" spans="2:16" x14ac:dyDescent="0.3"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</row>
    <row r="151" spans="2:16" x14ac:dyDescent="0.3"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</row>
    <row r="152" spans="2:16" x14ac:dyDescent="0.3"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</row>
    <row r="153" spans="2:16" x14ac:dyDescent="0.3"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</row>
    <row r="154" spans="2:16" x14ac:dyDescent="0.3"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</row>
    <row r="155" spans="2:16" x14ac:dyDescent="0.3"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</row>
    <row r="156" spans="2:16" x14ac:dyDescent="0.3"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</row>
    <row r="157" spans="2:16" x14ac:dyDescent="0.3"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</row>
    <row r="158" spans="2:16" x14ac:dyDescent="0.3"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</row>
    <row r="159" spans="2:16" x14ac:dyDescent="0.3"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</row>
    <row r="160" spans="2:16" x14ac:dyDescent="0.3"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</row>
    <row r="161" spans="2:16" x14ac:dyDescent="0.3"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</row>
    <row r="162" spans="2:16" x14ac:dyDescent="0.3"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</row>
    <row r="163" spans="2:16" x14ac:dyDescent="0.3"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</row>
    <row r="164" spans="2:16" x14ac:dyDescent="0.3"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</row>
    <row r="165" spans="2:16" x14ac:dyDescent="0.3"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</row>
    <row r="166" spans="2:16" x14ac:dyDescent="0.3"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</row>
    <row r="167" spans="2:16" x14ac:dyDescent="0.3"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</row>
    <row r="168" spans="2:16" x14ac:dyDescent="0.3"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</row>
    <row r="169" spans="2:16" x14ac:dyDescent="0.3"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</row>
    <row r="170" spans="2:16" x14ac:dyDescent="0.3"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</row>
    <row r="171" spans="2:16" x14ac:dyDescent="0.3"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</row>
    <row r="172" spans="2:16" x14ac:dyDescent="0.3"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</row>
    <row r="173" spans="2:16" x14ac:dyDescent="0.3"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</row>
    <row r="174" spans="2:16" x14ac:dyDescent="0.3"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</row>
    <row r="175" spans="2:16" x14ac:dyDescent="0.3"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</row>
    <row r="176" spans="2:16" x14ac:dyDescent="0.3"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</row>
    <row r="177" spans="2:16" x14ac:dyDescent="0.3"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</row>
    <row r="178" spans="2:16" x14ac:dyDescent="0.3"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</row>
    <row r="179" spans="2:16" x14ac:dyDescent="0.3"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</row>
    <row r="180" spans="2:16" x14ac:dyDescent="0.3"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</row>
    <row r="181" spans="2:16" x14ac:dyDescent="0.3"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</row>
    <row r="182" spans="2:16" x14ac:dyDescent="0.3"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</row>
    <row r="183" spans="2:16" x14ac:dyDescent="0.3"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</row>
    <row r="184" spans="2:16" x14ac:dyDescent="0.3"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</row>
    <row r="185" spans="2:16" x14ac:dyDescent="0.3"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</row>
    <row r="186" spans="2:16" x14ac:dyDescent="0.3"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</row>
    <row r="187" spans="2:16" x14ac:dyDescent="0.3"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</row>
    <row r="188" spans="2:16" x14ac:dyDescent="0.3"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</row>
    <row r="189" spans="2:16" x14ac:dyDescent="0.3"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</row>
    <row r="190" spans="2:16" x14ac:dyDescent="0.3"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</row>
    <row r="191" spans="2:16" x14ac:dyDescent="0.3"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</row>
    <row r="192" spans="2:16" x14ac:dyDescent="0.3"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</row>
    <row r="193" spans="2:16" x14ac:dyDescent="0.3"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</row>
    <row r="194" spans="2:16" x14ac:dyDescent="0.3"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</row>
    <row r="195" spans="2:16" x14ac:dyDescent="0.3"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</row>
    <row r="196" spans="2:16" x14ac:dyDescent="0.3"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</row>
    <row r="197" spans="2:16" x14ac:dyDescent="0.3"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</row>
    <row r="198" spans="2:16" x14ac:dyDescent="0.3"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</row>
    <row r="199" spans="2:16" x14ac:dyDescent="0.3"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</row>
    <row r="200" spans="2:16" x14ac:dyDescent="0.3"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</row>
    <row r="201" spans="2:16" x14ac:dyDescent="0.3"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</row>
    <row r="202" spans="2:16" x14ac:dyDescent="0.3"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</row>
    <row r="203" spans="2:16" x14ac:dyDescent="0.3"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</row>
    <row r="204" spans="2:16" x14ac:dyDescent="0.3"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</row>
    <row r="205" spans="2:16" x14ac:dyDescent="0.3"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</row>
    <row r="206" spans="2:16" x14ac:dyDescent="0.3"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</row>
    <row r="207" spans="2:16" x14ac:dyDescent="0.3"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</row>
    <row r="208" spans="2:16" x14ac:dyDescent="0.3"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</row>
    <row r="209" spans="2:16" x14ac:dyDescent="0.3"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</row>
    <row r="210" spans="2:16" x14ac:dyDescent="0.3"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</row>
    <row r="211" spans="2:16" x14ac:dyDescent="0.3"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</row>
    <row r="212" spans="2:16" x14ac:dyDescent="0.3"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</row>
    <row r="213" spans="2:16" x14ac:dyDescent="0.3"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</row>
    <row r="214" spans="2:16" x14ac:dyDescent="0.3"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</row>
    <row r="215" spans="2:16" x14ac:dyDescent="0.3"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</row>
    <row r="216" spans="2:16" x14ac:dyDescent="0.3"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</row>
    <row r="217" spans="2:16" x14ac:dyDescent="0.3"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</row>
    <row r="218" spans="2:16" x14ac:dyDescent="0.3"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</row>
    <row r="219" spans="2:16" x14ac:dyDescent="0.3"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</row>
    <row r="220" spans="2:16" x14ac:dyDescent="0.3"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</row>
    <row r="221" spans="2:16" x14ac:dyDescent="0.3"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</row>
    <row r="222" spans="2:16" x14ac:dyDescent="0.3"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</row>
    <row r="223" spans="2:16" x14ac:dyDescent="0.3"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</row>
    <row r="224" spans="2:16" x14ac:dyDescent="0.3"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</row>
    <row r="225" spans="2:16" x14ac:dyDescent="0.3"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</row>
    <row r="226" spans="2:16" x14ac:dyDescent="0.3"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</row>
    <row r="227" spans="2:16" x14ac:dyDescent="0.3"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</row>
    <row r="228" spans="2:16" x14ac:dyDescent="0.3"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</row>
    <row r="229" spans="2:16" x14ac:dyDescent="0.3"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</row>
    <row r="230" spans="2:16" x14ac:dyDescent="0.3"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</row>
    <row r="231" spans="2:16" x14ac:dyDescent="0.3"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</row>
    <row r="232" spans="2:16" x14ac:dyDescent="0.3"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</row>
    <row r="233" spans="2:16" x14ac:dyDescent="0.3"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</row>
    <row r="234" spans="2:16" x14ac:dyDescent="0.3"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</row>
    <row r="235" spans="2:16" x14ac:dyDescent="0.3"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</row>
    <row r="236" spans="2:16" x14ac:dyDescent="0.3"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</row>
    <row r="237" spans="2:16" x14ac:dyDescent="0.3"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</row>
    <row r="238" spans="2:16" x14ac:dyDescent="0.3"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</row>
    <row r="239" spans="2:16" x14ac:dyDescent="0.3"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</row>
    <row r="240" spans="2:16" x14ac:dyDescent="0.3"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</row>
    <row r="241" spans="2:16" x14ac:dyDescent="0.3"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</row>
    <row r="242" spans="2:16" x14ac:dyDescent="0.3"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</row>
    <row r="243" spans="2:16" x14ac:dyDescent="0.3">
      <c r="B243" s="36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</row>
    <row r="244" spans="2:16" x14ac:dyDescent="0.3">
      <c r="B244" s="36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</row>
    <row r="245" spans="2:16" x14ac:dyDescent="0.3">
      <c r="B245" s="36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</row>
    <row r="246" spans="2:16" x14ac:dyDescent="0.3">
      <c r="B246" s="2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</row>
    <row r="247" spans="2:16" x14ac:dyDescent="0.3">
      <c r="B247" s="36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</row>
    <row r="248" spans="2:16" x14ac:dyDescent="0.3">
      <c r="B248" s="2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</row>
    <row r="249" spans="2:16" x14ac:dyDescent="0.3">
      <c r="B249" s="36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</row>
    <row r="250" spans="2:16" x14ac:dyDescent="0.3">
      <c r="B250" s="2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mpararMedida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495300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OcultarFilasVacias">
                <anchor moveWithCells="1" sizeWithCells="1">
                  <from>
                    <xdr:col>0</xdr:col>
                    <xdr:colOff>38100</xdr:colOff>
                    <xdr:row>9</xdr:row>
                    <xdr:rowOff>76200</xdr:rowOff>
                  </from>
                  <to>
                    <xdr:col>0</xdr:col>
                    <xdr:colOff>426720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DesocultarFilas">
                <anchor moveWithCells="1" sizeWithCells="1">
                  <from>
                    <xdr:col>0</xdr:col>
                    <xdr:colOff>38100</xdr:colOff>
                    <xdr:row>15</xdr:row>
                    <xdr:rowOff>76200</xdr:rowOff>
                  </from>
                  <to>
                    <xdr:col>0</xdr:col>
                    <xdr:colOff>426720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CopiarFilasParesNoBlancas">
                <anchor moveWithCells="1" sizeWithCells="1">
                  <from>
                    <xdr:col>0</xdr:col>
                    <xdr:colOff>0</xdr:colOff>
                    <xdr:row>19</xdr:row>
                    <xdr:rowOff>22860</xdr:rowOff>
                  </from>
                  <to>
                    <xdr:col>0</xdr:col>
                    <xdr:colOff>495300</xdr:colOff>
                    <xdr:row>28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536604-8272-4210-82DC-C232C6D0908B}">
          <x14:formula1>
            <xm:f>LISTA_PIEZAS!$A$1:$A$2000</xm:f>
          </x14:formula1>
          <xm:sqref>B15:B2000</xm:sqref>
        </x14:dataValidation>
        <x14:dataValidation type="list" allowBlank="1" showInputMessage="1" showErrorMessage="1" xr:uid="{09F773EB-0602-4C15-B6C0-ABFB4A6A4907}">
          <x14:formula1>
            <xm:f>LISTA_PIEZAS!A1:A229</xm:f>
          </x14:formula1>
          <xm:sqref>B2:B14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04648-39D0-4D80-9F1E-1482F2665075}">
  <sheetPr codeName="Sheet7">
    <tabColor theme="9"/>
  </sheetPr>
  <dimension ref="B1:AT2000"/>
  <sheetViews>
    <sheetView zoomScaleNormal="100" workbookViewId="0">
      <selection activeCell="AQ1" sqref="AE1:AQ1"/>
    </sheetView>
  </sheetViews>
  <sheetFormatPr defaultRowHeight="14.4" x14ac:dyDescent="0.3"/>
  <cols>
    <col min="2" max="2" width="25.88671875" customWidth="1"/>
    <col min="15" max="15" width="19.109375" customWidth="1"/>
    <col min="17" max="17" width="12.5546875" style="19" customWidth="1"/>
    <col min="18" max="27" width="8.88671875" style="40"/>
    <col min="29" max="30" width="8.88671875" style="40"/>
    <col min="31" max="31" width="17.44140625" style="40" customWidth="1"/>
    <col min="32" max="33" width="10.44140625" style="40" customWidth="1"/>
    <col min="34" max="34" width="10.5546875" bestFit="1" customWidth="1"/>
    <col min="36" max="37" width="8.88671875" style="11"/>
    <col min="38" max="40" width="8.88671875" style="40"/>
    <col min="41" max="41" width="9.21875" bestFit="1" customWidth="1"/>
    <col min="42" max="42" width="13.5546875" customWidth="1"/>
    <col min="45" max="45" width="8.88671875" style="40"/>
    <col min="46" max="46" width="21.5546875" customWidth="1"/>
  </cols>
  <sheetData>
    <row r="1" spans="2:46" x14ac:dyDescent="0.3">
      <c r="B1" s="72" t="s">
        <v>0</v>
      </c>
      <c r="C1" s="72" t="s">
        <v>1</v>
      </c>
      <c r="D1" s="72" t="s">
        <v>2</v>
      </c>
      <c r="E1" s="72" t="s">
        <v>3</v>
      </c>
      <c r="F1" s="72" t="s">
        <v>4</v>
      </c>
      <c r="G1" s="72" t="s">
        <v>5</v>
      </c>
      <c r="H1" s="72" t="s">
        <v>6</v>
      </c>
      <c r="I1" s="72" t="s">
        <v>7</v>
      </c>
      <c r="J1" s="72" t="s">
        <v>8</v>
      </c>
      <c r="K1" s="72" t="s">
        <v>9</v>
      </c>
      <c r="L1" s="72" t="s">
        <v>219</v>
      </c>
      <c r="M1" s="72" t="s">
        <v>223</v>
      </c>
      <c r="N1" s="72" t="s">
        <v>221</v>
      </c>
      <c r="O1" s="72" t="s">
        <v>224</v>
      </c>
      <c r="P1" s="72" t="s">
        <v>220</v>
      </c>
      <c r="Q1" s="84"/>
      <c r="R1" s="72" t="s">
        <v>1</v>
      </c>
      <c r="S1" s="72" t="s">
        <v>2</v>
      </c>
      <c r="T1" s="72" t="s">
        <v>3</v>
      </c>
      <c r="U1" s="72" t="s">
        <v>4</v>
      </c>
      <c r="V1" s="72" t="s">
        <v>5</v>
      </c>
      <c r="W1" s="72" t="s">
        <v>6</v>
      </c>
      <c r="X1" s="72" t="s">
        <v>7</v>
      </c>
      <c r="Y1" s="83" t="s">
        <v>8</v>
      </c>
      <c r="Z1" s="35" t="s">
        <v>9</v>
      </c>
      <c r="AA1" s="35" t="s">
        <v>219</v>
      </c>
      <c r="AB1" s="35" t="s">
        <v>223</v>
      </c>
      <c r="AC1" s="96"/>
      <c r="AD1" s="96"/>
      <c r="AE1" s="97" t="s">
        <v>351</v>
      </c>
      <c r="AF1" s="72" t="s">
        <v>337</v>
      </c>
      <c r="AG1" s="72" t="s">
        <v>338</v>
      </c>
      <c r="AH1" s="72" t="s">
        <v>327</v>
      </c>
      <c r="AI1" s="72" t="s">
        <v>328</v>
      </c>
      <c r="AJ1" s="72" t="s">
        <v>329</v>
      </c>
      <c r="AK1" s="97" t="s">
        <v>330</v>
      </c>
      <c r="AL1" s="97" t="s">
        <v>336</v>
      </c>
      <c r="AM1" s="72" t="s">
        <v>331</v>
      </c>
      <c r="AN1" s="72" t="s">
        <v>335</v>
      </c>
      <c r="AO1" s="72" t="s">
        <v>333</v>
      </c>
      <c r="AP1" s="72" t="s">
        <v>332</v>
      </c>
      <c r="AQ1" s="72" t="s">
        <v>334</v>
      </c>
      <c r="AS1" s="96"/>
      <c r="AT1" s="96"/>
    </row>
    <row r="2" spans="2:46" x14ac:dyDescent="0.3">
      <c r="B2" s="36" t="s">
        <v>256</v>
      </c>
      <c r="C2" s="49">
        <v>2</v>
      </c>
      <c r="D2" s="49">
        <v>3</v>
      </c>
      <c r="E2" s="49">
        <v>51.83</v>
      </c>
      <c r="F2" s="49">
        <v>51.67</v>
      </c>
      <c r="G2" s="49" t="s">
        <v>11</v>
      </c>
      <c r="H2" s="49" t="s">
        <v>11</v>
      </c>
      <c r="I2" s="49" t="s">
        <v>11</v>
      </c>
      <c r="J2" s="49" t="s">
        <v>11</v>
      </c>
      <c r="K2" s="49" t="s">
        <v>11</v>
      </c>
      <c r="L2" s="36" t="s">
        <v>222</v>
      </c>
      <c r="M2" s="36"/>
      <c r="N2" s="36"/>
      <c r="O2" s="77" t="s">
        <v>281</v>
      </c>
      <c r="P2" s="42">
        <v>45734</v>
      </c>
      <c r="Q2" s="41"/>
      <c r="R2" s="64">
        <v>2.2610000000000001</v>
      </c>
      <c r="S2" s="50">
        <v>1.5</v>
      </c>
      <c r="T2" s="49">
        <v>3.99</v>
      </c>
      <c r="U2" s="50">
        <v>0.5</v>
      </c>
      <c r="V2" s="50">
        <v>0.625</v>
      </c>
      <c r="W2" s="49" t="s">
        <v>11</v>
      </c>
      <c r="X2" s="49" t="s">
        <v>11</v>
      </c>
      <c r="Y2" s="49" t="s">
        <v>11</v>
      </c>
      <c r="Z2" s="49" t="s">
        <v>11</v>
      </c>
      <c r="AA2" s="36" t="s">
        <v>254</v>
      </c>
      <c r="AB2" s="36" t="s">
        <v>348</v>
      </c>
      <c r="AC2" s="41"/>
      <c r="AD2" s="36" t="s">
        <v>339</v>
      </c>
      <c r="AE2" s="61">
        <v>2.25</v>
      </c>
      <c r="AF2" s="61">
        <f>IF(AND(AE2&gt;=0.039,AE2&lt;0.236),AE2-0.003,IF(AND(AE2&gt;=0.236,AE2&lt;1.181),AE2-0.007,IF(AND(AE2&gt;=1.181,AE2&lt;4.724),AE2-0.012,IF(AND(AE2&gt;=4.748,AE2&lt;15.724),AE2-0.02,IF(AND(AE2&gt;=15.725,AE2&lt;39.37),AE2-0.031,IF(AND(AE2&gt;=39.37,AE2&lt;78.74),AE2-0.047,IF(AND(AE2&gt;=78.74,AE2&lt;157.48),AE2-0.078,AE2)))))))</f>
        <v>2.238</v>
      </c>
      <c r="AG2" s="61">
        <f>IF(AND(AE2&gt;=0.039,AE2&lt;0.236),AE2+0.003,IF(AND(AE2&gt;=0.236,AE2&lt;1.181),AE2+0.007,IF(AND(AE2&gt;=1.181,AE2&lt;4.724),AE2+0.012,IF(AND(AE2&gt;=4.748,AE2&lt;15.724),AE2+0.02,IF(AND(AE2&gt;=15.725,AE2&lt;39.37),AE2+0.031,IF(AND(AE2&gt;=39.37,AE2&lt;78.74),AE2+0.047,IF(AND(AE2&gt;=78.74,AE2&lt;157.48),AE2+0.078,AE2)))))))</f>
        <v>2.262</v>
      </c>
      <c r="AH2" s="61">
        <f>SUM(R2:R2000)</f>
        <v>9.0220000000000002</v>
      </c>
      <c r="AI2" s="61">
        <f>AVERAGE(R2:R2000)</f>
        <v>2.2555000000000001</v>
      </c>
      <c r="AJ2" s="61">
        <f>MAX(R2:R2000)</f>
        <v>2.2610000000000001</v>
      </c>
      <c r="AK2" s="61">
        <f>MIN(R2:R2000)</f>
        <v>2.25</v>
      </c>
      <c r="AL2" s="61">
        <f>MODE(R2:R2000)</f>
        <v>2.2610000000000001</v>
      </c>
      <c r="AM2" s="37">
        <f>AJ2-AK2</f>
        <v>1.1000000000000121E-2</v>
      </c>
      <c r="AN2" s="37">
        <f>STDEVP(R2:R2000)</f>
        <v>5.5000000000000604E-3</v>
      </c>
      <c r="AO2" s="101">
        <f>IF(AN2=0,1,(AG2-AF2)/6/AN2)</f>
        <v>0.72727272727271997</v>
      </c>
      <c r="AP2" s="37">
        <f>ABS(((AF2+AG2)/2)-AI2)/((AF2-AG2)/2)</f>
        <v>-0.45833333333333798</v>
      </c>
      <c r="AQ2" s="37">
        <f>(1-AP2)*AO2</f>
        <v>1.0606060606060532</v>
      </c>
      <c r="AT2" s="150"/>
    </row>
    <row r="3" spans="2:46" x14ac:dyDescent="0.3">
      <c r="B3" s="36" t="s">
        <v>256</v>
      </c>
      <c r="C3" s="49">
        <v>2</v>
      </c>
      <c r="D3" s="49">
        <v>3</v>
      </c>
      <c r="E3" s="49">
        <v>51.83</v>
      </c>
      <c r="F3" s="49">
        <v>51.67</v>
      </c>
      <c r="G3" s="49" t="s">
        <v>11</v>
      </c>
      <c r="H3" s="49" t="s">
        <v>11</v>
      </c>
      <c r="I3" s="49" t="s">
        <v>11</v>
      </c>
      <c r="J3" s="49" t="s">
        <v>11</v>
      </c>
      <c r="K3" s="49" t="s">
        <v>11</v>
      </c>
      <c r="L3" s="36" t="s">
        <v>325</v>
      </c>
      <c r="M3" s="36"/>
      <c r="N3" s="36"/>
      <c r="O3" s="78" t="s">
        <v>281</v>
      </c>
      <c r="P3" s="42">
        <v>45735</v>
      </c>
      <c r="Q3" s="41"/>
      <c r="R3" s="50">
        <v>2.25</v>
      </c>
      <c r="S3" s="50">
        <v>1.5</v>
      </c>
      <c r="T3" s="49">
        <v>4</v>
      </c>
      <c r="U3" s="50">
        <v>0.5</v>
      </c>
      <c r="V3" s="50">
        <v>0.625</v>
      </c>
      <c r="W3" s="49" t="s">
        <v>11</v>
      </c>
      <c r="X3" s="49" t="s">
        <v>11</v>
      </c>
      <c r="Y3" s="49" t="s">
        <v>11</v>
      </c>
      <c r="Z3" s="49" t="s">
        <v>11</v>
      </c>
      <c r="AA3" s="36" t="s">
        <v>254</v>
      </c>
      <c r="AB3" s="37" t="s">
        <v>349</v>
      </c>
      <c r="AC3" s="41"/>
      <c r="AD3" s="36" t="s">
        <v>340</v>
      </c>
      <c r="AE3" s="61">
        <v>1.5</v>
      </c>
      <c r="AF3" s="61">
        <f t="shared" ref="AF3:AF10" si="0">IF(AND(AE3&gt;=0.039,AE3&lt;0.236),AE3-0.003,IF(AND(AE3&gt;=0.236,AE3&lt;1.181),AE3-0.007,IF(AND(AE3&gt;=1.181,AE3&lt;4.724),AE3-0.012,IF(AND(AE3&gt;=4.748,AE3&lt;15.724),AE3-0.02,IF(AND(AE3&gt;=15.725,AE3&lt;39.37),AE3-0.031,IF(AND(AE3&gt;=39.37,AE3&lt;78.74),AE3-0.047,IF(AND(AE3&gt;=78.74,AE3&lt;157.48),AE3-0.078,AE3)))))))</f>
        <v>1.488</v>
      </c>
      <c r="AG3" s="61">
        <f t="shared" ref="AG3:AG10" si="1">IF(AND(AE3&gt;=0.039,AE3&lt;0.236),AE3+0.003,IF(AND(AE3&gt;=0.236,AE3&lt;1.181),AE3+0.007,IF(AND(AE3&gt;=1.181,AE3&lt;4.724),AE3+0.012,IF(AND(AE3&gt;=4.748,AE3&lt;15.724),AE3+0.02,IF(AND(AE3&gt;=15.725,AE3&lt;39.37),AE3+0.031,IF(AND(AE3&gt;=39.37,AE3&lt;78.74),AE3+0.047,IF(AND(AE3&gt;=78.74,AE3&lt;157.48),AE3+0.078,AE3)))))))</f>
        <v>1.512</v>
      </c>
      <c r="AH3" s="99">
        <f>SUM(S2:S2000)</f>
        <v>6.01</v>
      </c>
      <c r="AI3" s="99">
        <f>AVERAGE(S2:S2000)</f>
        <v>1.5024999999999999</v>
      </c>
      <c r="AJ3" s="103">
        <f>MAX(S2:S200)</f>
        <v>1.51</v>
      </c>
      <c r="AK3" s="103">
        <f>MIN(S2:S2000)</f>
        <v>1.5</v>
      </c>
      <c r="AL3" s="61">
        <f>MODE(S2:S2000)</f>
        <v>1.5</v>
      </c>
      <c r="AM3" s="37">
        <f t="shared" ref="AM3:AM10" si="2">AJ3-AK3</f>
        <v>1.0000000000000009E-2</v>
      </c>
      <c r="AN3" s="37">
        <f>STDEVP(S2:S2000)</f>
        <v>4.3301270189221976E-3</v>
      </c>
      <c r="AO3" s="101">
        <f>IF(AN3=0, 1,(AG3-AF3)/6/AN3)</f>
        <v>0.92376043070340108</v>
      </c>
      <c r="AP3" s="102">
        <f t="shared" ref="AP3:AP10" si="3">ABS(((AF3+AG3)/2)-AI3)/((AF3-AG3)/2)</f>
        <v>-0.20833333333332871</v>
      </c>
      <c r="AQ3" s="37">
        <f t="shared" ref="AQ3:AQ10" si="4">(1-AP3)*AO3</f>
        <v>1.116210520433272</v>
      </c>
      <c r="AT3" s="150"/>
    </row>
    <row r="4" spans="2:46" x14ac:dyDescent="0.3">
      <c r="B4" s="36" t="s">
        <v>283</v>
      </c>
      <c r="C4" s="49">
        <v>6</v>
      </c>
      <c r="D4" s="50">
        <v>0.625</v>
      </c>
      <c r="E4" s="79" t="s">
        <v>11</v>
      </c>
      <c r="F4" s="79" t="s">
        <v>11</v>
      </c>
      <c r="G4" s="79" t="s">
        <v>11</v>
      </c>
      <c r="H4" s="79" t="s">
        <v>11</v>
      </c>
      <c r="I4" s="79" t="s">
        <v>11</v>
      </c>
      <c r="J4" s="79" t="s">
        <v>11</v>
      </c>
      <c r="K4" s="79" t="s">
        <v>11</v>
      </c>
      <c r="L4" s="36" t="s">
        <v>254</v>
      </c>
      <c r="M4" s="36"/>
      <c r="N4" s="36"/>
      <c r="O4" s="43" t="s">
        <v>225</v>
      </c>
      <c r="P4" s="42">
        <v>45736</v>
      </c>
      <c r="Q4" s="41"/>
      <c r="R4" s="64">
        <v>2.2610000000000001</v>
      </c>
      <c r="S4" s="50">
        <v>1.5</v>
      </c>
      <c r="T4" s="49">
        <v>4</v>
      </c>
      <c r="U4" s="50">
        <v>0.5</v>
      </c>
      <c r="V4" s="50">
        <v>0.625</v>
      </c>
      <c r="W4" s="49" t="s">
        <v>11</v>
      </c>
      <c r="X4" s="49" t="s">
        <v>11</v>
      </c>
      <c r="Y4" s="49" t="s">
        <v>11</v>
      </c>
      <c r="Z4" s="49" t="s">
        <v>11</v>
      </c>
      <c r="AA4" s="36" t="s">
        <v>254</v>
      </c>
      <c r="AB4" s="37" t="s">
        <v>348</v>
      </c>
      <c r="AC4" s="41"/>
      <c r="AD4" s="36" t="s">
        <v>341</v>
      </c>
      <c r="AE4" s="61">
        <v>4</v>
      </c>
      <c r="AF4" s="61">
        <f t="shared" si="0"/>
        <v>3.988</v>
      </c>
      <c r="AG4" s="61">
        <f t="shared" si="1"/>
        <v>4.0119999999999996</v>
      </c>
      <c r="AH4" s="100">
        <f>SUM(T2:T2000)</f>
        <v>15.99</v>
      </c>
      <c r="AI4" s="100">
        <f>AVERAGE(T2:T2000)</f>
        <v>3.9975000000000001</v>
      </c>
      <c r="AJ4" s="100">
        <f>MAX(T2:T2000)</f>
        <v>4</v>
      </c>
      <c r="AK4" s="100">
        <f>MIN(T2:T2000)</f>
        <v>3.99</v>
      </c>
      <c r="AL4" s="61">
        <f>MODE(T2:T2000)</f>
        <v>4</v>
      </c>
      <c r="AM4" s="37">
        <f t="shared" si="2"/>
        <v>9.9999999999997868E-3</v>
      </c>
      <c r="AN4" s="37">
        <f>STDEVP(T2:T2000)</f>
        <v>4.3301270189221005E-3</v>
      </c>
      <c r="AO4" s="101">
        <f>IF(AN4=0,1,(AG4-AF4)/6/AN4)</f>
        <v>0.92376043070340486</v>
      </c>
      <c r="AP4" s="102">
        <f t="shared" si="3"/>
        <v>-0.20833333333333257</v>
      </c>
      <c r="AQ4" s="37">
        <f t="shared" si="4"/>
        <v>1.1162105204332802</v>
      </c>
      <c r="AT4" s="150"/>
    </row>
    <row r="5" spans="2:46" x14ac:dyDescent="0.3">
      <c r="B5" s="36" t="s">
        <v>283</v>
      </c>
      <c r="C5" s="49">
        <v>6</v>
      </c>
      <c r="D5" s="50">
        <v>0.625</v>
      </c>
      <c r="E5" s="79" t="s">
        <v>11</v>
      </c>
      <c r="F5" s="79" t="s">
        <v>11</v>
      </c>
      <c r="G5" s="79" t="s">
        <v>11</v>
      </c>
      <c r="H5" s="79" t="s">
        <v>11</v>
      </c>
      <c r="I5" s="79" t="s">
        <v>11</v>
      </c>
      <c r="J5" s="79" t="s">
        <v>11</v>
      </c>
      <c r="K5" s="79" t="s">
        <v>11</v>
      </c>
      <c r="L5" s="36" t="s">
        <v>222</v>
      </c>
      <c r="M5" s="36"/>
      <c r="N5" s="36"/>
      <c r="O5" s="43" t="s">
        <v>225</v>
      </c>
      <c r="P5" s="42">
        <v>45737</v>
      </c>
      <c r="Q5" s="41"/>
      <c r="R5" s="50">
        <v>2.25</v>
      </c>
      <c r="S5" s="64">
        <v>1.51</v>
      </c>
      <c r="T5" s="49">
        <v>4</v>
      </c>
      <c r="U5" s="50">
        <v>0.5</v>
      </c>
      <c r="V5" s="50">
        <v>0.625</v>
      </c>
      <c r="W5" s="49" t="s">
        <v>11</v>
      </c>
      <c r="X5" s="49" t="s">
        <v>11</v>
      </c>
      <c r="Y5" s="49" t="s">
        <v>11</v>
      </c>
      <c r="Z5" s="49" t="s">
        <v>11</v>
      </c>
      <c r="AA5" s="36" t="s">
        <v>254</v>
      </c>
      <c r="AB5" s="37" t="s">
        <v>348</v>
      </c>
      <c r="AC5" s="89"/>
      <c r="AD5" s="36" t="s">
        <v>342</v>
      </c>
      <c r="AE5" s="61">
        <v>0.5</v>
      </c>
      <c r="AF5" s="61">
        <f t="shared" si="0"/>
        <v>0.49299999999999999</v>
      </c>
      <c r="AG5" s="61">
        <f t="shared" si="1"/>
        <v>0.50700000000000001</v>
      </c>
      <c r="AH5" s="100">
        <f>SUM(U2:U2000)</f>
        <v>2</v>
      </c>
      <c r="AI5" s="100">
        <f>AVERAGE(U2:U2000)</f>
        <v>0.5</v>
      </c>
      <c r="AJ5" s="100">
        <f>MAX(U2:U2000)</f>
        <v>0.5</v>
      </c>
      <c r="AK5" s="100">
        <f>MIN(U2:U2000)</f>
        <v>0.5</v>
      </c>
      <c r="AL5" s="61">
        <f>MODE(U2:U2000)</f>
        <v>0.5</v>
      </c>
      <c r="AM5" s="37">
        <f t="shared" si="2"/>
        <v>0</v>
      </c>
      <c r="AN5" s="37">
        <f>STDEVP(U2:U2000)</f>
        <v>0</v>
      </c>
      <c r="AO5" s="101">
        <f>IF(AN5=0,1,(AG5-AF5)/6/AN5)</f>
        <v>1</v>
      </c>
      <c r="AP5" s="102">
        <f t="shared" si="3"/>
        <v>0</v>
      </c>
      <c r="AQ5" s="37">
        <f t="shared" si="4"/>
        <v>1</v>
      </c>
      <c r="AT5" s="150"/>
    </row>
    <row r="6" spans="2:46" x14ac:dyDescent="0.3">
      <c r="B6" s="36" t="s">
        <v>283</v>
      </c>
      <c r="C6" s="49">
        <v>6</v>
      </c>
      <c r="D6" s="50">
        <v>0.625</v>
      </c>
      <c r="E6" s="49" t="s">
        <v>11</v>
      </c>
      <c r="F6" s="49" t="s">
        <v>11</v>
      </c>
      <c r="G6" s="49" t="s">
        <v>11</v>
      </c>
      <c r="H6" s="49" t="s">
        <v>11</v>
      </c>
      <c r="I6" s="49" t="s">
        <v>11</v>
      </c>
      <c r="J6" s="49" t="s">
        <v>11</v>
      </c>
      <c r="K6" s="49" t="s">
        <v>11</v>
      </c>
      <c r="L6" s="36" t="s">
        <v>222</v>
      </c>
      <c r="M6" s="36"/>
      <c r="N6" s="36"/>
      <c r="O6" s="43" t="s">
        <v>225</v>
      </c>
      <c r="P6" s="42">
        <v>45738</v>
      </c>
      <c r="Q6" s="41"/>
      <c r="R6" s="86"/>
      <c r="S6" s="87"/>
      <c r="T6" s="86"/>
      <c r="U6" s="86"/>
      <c r="V6" s="86"/>
      <c r="W6" s="86"/>
      <c r="X6" s="86"/>
      <c r="Y6" s="86"/>
      <c r="Z6" s="86"/>
      <c r="AA6" s="86"/>
      <c r="AB6" s="86"/>
      <c r="AC6" s="89"/>
      <c r="AD6" s="36" t="s">
        <v>343</v>
      </c>
      <c r="AE6" s="61">
        <v>0.625</v>
      </c>
      <c r="AF6" s="61">
        <f t="shared" si="0"/>
        <v>0.61799999999999999</v>
      </c>
      <c r="AG6" s="61">
        <f t="shared" si="1"/>
        <v>0.63200000000000001</v>
      </c>
      <c r="AH6" s="100">
        <f>SUM(V2:V2000)</f>
        <v>2.5</v>
      </c>
      <c r="AI6" s="100">
        <f>AVERAGE(V2:V2000)</f>
        <v>0.625</v>
      </c>
      <c r="AJ6" s="61">
        <f>MAX(V2:V2000)</f>
        <v>0.625</v>
      </c>
      <c r="AK6" s="61">
        <f>MIN(V2:V2000)</f>
        <v>0.625</v>
      </c>
      <c r="AL6" s="61">
        <f>MODE(V2:V2000)</f>
        <v>0.625</v>
      </c>
      <c r="AM6" s="37">
        <f t="shared" si="2"/>
        <v>0</v>
      </c>
      <c r="AN6" s="37">
        <f>STDEVP(V2:V2000)</f>
        <v>0</v>
      </c>
      <c r="AO6" s="101">
        <f>IF(AN6=0,1,(AG6-AF6)/6/AN6)</f>
        <v>1</v>
      </c>
      <c r="AP6" s="102">
        <f t="shared" si="3"/>
        <v>0</v>
      </c>
      <c r="AQ6" s="37">
        <f t="shared" si="4"/>
        <v>1</v>
      </c>
      <c r="AT6" s="150"/>
    </row>
    <row r="7" spans="2:46" x14ac:dyDescent="0.3">
      <c r="B7" s="70" t="s">
        <v>100</v>
      </c>
      <c r="C7" s="80">
        <v>3.94</v>
      </c>
      <c r="D7" s="81">
        <v>0.3125</v>
      </c>
      <c r="E7" s="82">
        <v>1</v>
      </c>
      <c r="F7" s="80">
        <v>1.25</v>
      </c>
      <c r="G7" s="80" t="s">
        <v>11</v>
      </c>
      <c r="H7" s="80" t="s">
        <v>11</v>
      </c>
      <c r="I7" s="80" t="s">
        <v>11</v>
      </c>
      <c r="J7" s="80" t="s">
        <v>11</v>
      </c>
      <c r="K7" s="80" t="s">
        <v>11</v>
      </c>
      <c r="L7" s="70" t="s">
        <v>326</v>
      </c>
      <c r="M7" s="70"/>
      <c r="N7" s="70"/>
      <c r="O7" s="75" t="s">
        <v>225</v>
      </c>
      <c r="P7" s="71">
        <v>45739</v>
      </c>
      <c r="Q7" s="41"/>
      <c r="R7" s="91"/>
      <c r="S7" s="92"/>
      <c r="T7" s="93"/>
      <c r="U7" s="91"/>
      <c r="V7" s="91"/>
      <c r="W7" s="91"/>
      <c r="X7" s="91"/>
      <c r="Y7" s="91"/>
      <c r="Z7" s="91"/>
      <c r="AA7" s="91"/>
      <c r="AB7" s="91"/>
      <c r="AC7" s="89"/>
      <c r="AD7" s="36" t="s">
        <v>344</v>
      </c>
      <c r="AE7" s="61"/>
      <c r="AF7" s="61">
        <f t="shared" si="0"/>
        <v>0</v>
      </c>
      <c r="AG7" s="61">
        <f t="shared" si="1"/>
        <v>0</v>
      </c>
      <c r="AH7" s="61">
        <f>SUM(W2:W2000)</f>
        <v>0</v>
      </c>
      <c r="AI7" s="61" t="e">
        <f>AVERAGE(W2:W2000)</f>
        <v>#DIV/0!</v>
      </c>
      <c r="AJ7" s="61">
        <f>MAX(W2:W2000)</f>
        <v>0</v>
      </c>
      <c r="AK7" s="61">
        <f>MIN(W2:W2000)</f>
        <v>0</v>
      </c>
      <c r="AL7" s="61" t="e">
        <f>MODE(W2:W2000)</f>
        <v>#N/A</v>
      </c>
      <c r="AM7" s="37">
        <f t="shared" si="2"/>
        <v>0</v>
      </c>
      <c r="AN7" s="37" t="e">
        <f>STDEVP(W2:W2000)</f>
        <v>#DIV/0!</v>
      </c>
      <c r="AO7" s="101" t="e">
        <f>IF(AN7=0,1,(AG7-AF7)/6/AN7)</f>
        <v>#DIV/0!</v>
      </c>
      <c r="AP7" s="102" t="e">
        <f t="shared" si="3"/>
        <v>#DIV/0!</v>
      </c>
      <c r="AQ7" s="37" t="e">
        <f t="shared" si="4"/>
        <v>#DIV/0!</v>
      </c>
      <c r="AT7" s="151"/>
    </row>
    <row r="8" spans="2:46" x14ac:dyDescent="0.3">
      <c r="B8" s="36" t="s">
        <v>271</v>
      </c>
      <c r="C8" s="50">
        <v>9.25</v>
      </c>
      <c r="D8" s="49" t="s">
        <v>247</v>
      </c>
      <c r="E8" s="50">
        <v>7.25</v>
      </c>
      <c r="F8" s="49">
        <v>112.99</v>
      </c>
      <c r="G8" s="49">
        <v>3.15</v>
      </c>
      <c r="H8" s="49" t="s">
        <v>11</v>
      </c>
      <c r="I8" s="49" t="s">
        <v>11</v>
      </c>
      <c r="J8" s="49" t="s">
        <v>11</v>
      </c>
      <c r="K8" s="49" t="s">
        <v>11</v>
      </c>
      <c r="L8" s="38" t="s">
        <v>254</v>
      </c>
      <c r="M8" s="36"/>
      <c r="N8" s="36"/>
      <c r="O8" s="78" t="s">
        <v>281</v>
      </c>
      <c r="P8" s="42">
        <v>45734</v>
      </c>
      <c r="Q8" s="41"/>
      <c r="R8" s="87"/>
      <c r="S8" s="86"/>
      <c r="T8" s="87"/>
      <c r="U8" s="86"/>
      <c r="V8" s="86"/>
      <c r="W8" s="86"/>
      <c r="X8" s="86"/>
      <c r="Y8" s="86"/>
      <c r="Z8" s="86"/>
      <c r="AA8" s="87"/>
      <c r="AB8" s="86"/>
      <c r="AC8" s="89"/>
      <c r="AD8" s="36" t="s">
        <v>345</v>
      </c>
      <c r="AE8" s="61"/>
      <c r="AF8" s="61">
        <f t="shared" si="0"/>
        <v>0</v>
      </c>
      <c r="AG8" s="61">
        <f t="shared" si="1"/>
        <v>0</v>
      </c>
      <c r="AH8" s="61">
        <f>SUM(X2:X2000)</f>
        <v>0</v>
      </c>
      <c r="AI8" s="61" t="e">
        <f>AVERAGE(X2:X2000)</f>
        <v>#DIV/0!</v>
      </c>
      <c r="AJ8" s="61">
        <f>MAX(X2:X2000)</f>
        <v>0</v>
      </c>
      <c r="AK8" s="61">
        <f>MIN(X2:X2000)</f>
        <v>0</v>
      </c>
      <c r="AL8" s="61" t="e">
        <f>MODE(X2:X2000)</f>
        <v>#N/A</v>
      </c>
      <c r="AM8" s="37">
        <f t="shared" si="2"/>
        <v>0</v>
      </c>
      <c r="AN8" s="37" t="e">
        <f>STDEVP(X2:X2000)</f>
        <v>#DIV/0!</v>
      </c>
      <c r="AO8" s="101" t="e">
        <f>IF(AN8=0,1,(AG8-AF8)/6/AN8)</f>
        <v>#DIV/0!</v>
      </c>
      <c r="AP8" s="102" t="e">
        <f t="shared" si="3"/>
        <v>#DIV/0!</v>
      </c>
      <c r="AQ8" s="37" t="e">
        <f t="shared" si="4"/>
        <v>#DIV/0!</v>
      </c>
      <c r="AT8" s="151"/>
    </row>
    <row r="9" spans="2:46" x14ac:dyDescent="0.3">
      <c r="B9" s="36" t="s">
        <v>290</v>
      </c>
      <c r="C9" s="64">
        <v>2.2610000000000001</v>
      </c>
      <c r="D9" s="50">
        <v>1.5</v>
      </c>
      <c r="E9" s="49">
        <v>4</v>
      </c>
      <c r="F9" s="50">
        <v>0.5</v>
      </c>
      <c r="G9" s="50">
        <v>0.625</v>
      </c>
      <c r="H9" s="49" t="s">
        <v>11</v>
      </c>
      <c r="I9" s="49" t="s">
        <v>11</v>
      </c>
      <c r="J9" s="49" t="s">
        <v>11</v>
      </c>
      <c r="K9" s="49" t="s">
        <v>11</v>
      </c>
      <c r="L9" s="36" t="s">
        <v>254</v>
      </c>
      <c r="M9" s="36" t="s">
        <v>348</v>
      </c>
      <c r="N9" s="36"/>
      <c r="O9" s="43" t="s">
        <v>225</v>
      </c>
      <c r="P9" s="42">
        <v>45734</v>
      </c>
      <c r="Q9" s="41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41"/>
      <c r="AD9" s="36" t="s">
        <v>346</v>
      </c>
      <c r="AE9" s="61"/>
      <c r="AF9" s="61">
        <f t="shared" si="0"/>
        <v>0</v>
      </c>
      <c r="AG9" s="61">
        <f t="shared" si="1"/>
        <v>0</v>
      </c>
      <c r="AH9" s="61">
        <f>SUM(Y2:Y2000)</f>
        <v>0</v>
      </c>
      <c r="AI9" s="61" t="e">
        <f>AVERAGE(Y2:Y2000)</f>
        <v>#DIV/0!</v>
      </c>
      <c r="AJ9" s="61">
        <f>MAX(Y2:Y2000)</f>
        <v>0</v>
      </c>
      <c r="AK9" s="61">
        <f>MIN(Y2:Y2000)</f>
        <v>0</v>
      </c>
      <c r="AL9" s="61" t="e">
        <f>MODE(Y2:Y2000)</f>
        <v>#N/A</v>
      </c>
      <c r="AM9" s="37">
        <f t="shared" si="2"/>
        <v>0</v>
      </c>
      <c r="AN9" s="37" t="e">
        <f>STDEVP(Y2:Y2000)</f>
        <v>#DIV/0!</v>
      </c>
      <c r="AO9" s="101" t="e">
        <f>IF(AN9,1,(AG9-AF9)/6/AN9)</f>
        <v>#DIV/0!</v>
      </c>
      <c r="AP9" s="102" t="e">
        <f t="shared" si="3"/>
        <v>#DIV/0!</v>
      </c>
      <c r="AQ9" s="37" t="e">
        <f t="shared" si="4"/>
        <v>#DIV/0!</v>
      </c>
      <c r="AT9" s="151"/>
    </row>
    <row r="10" spans="2:46" x14ac:dyDescent="0.3">
      <c r="B10" s="36" t="s">
        <v>190</v>
      </c>
      <c r="C10" s="52">
        <v>4.83</v>
      </c>
      <c r="D10" s="51">
        <v>10</v>
      </c>
      <c r="E10" s="51">
        <v>10.5</v>
      </c>
      <c r="F10" s="51">
        <v>27</v>
      </c>
      <c r="G10" s="51">
        <v>30</v>
      </c>
      <c r="H10" s="51">
        <v>20</v>
      </c>
      <c r="I10" s="79" t="s">
        <v>11</v>
      </c>
      <c r="J10" s="79" t="s">
        <v>11</v>
      </c>
      <c r="K10" s="79" t="s">
        <v>11</v>
      </c>
      <c r="L10" s="36" t="s">
        <v>254</v>
      </c>
      <c r="M10" s="36"/>
      <c r="N10" s="36"/>
      <c r="O10" s="67" t="s">
        <v>255</v>
      </c>
      <c r="P10" s="36"/>
      <c r="Q10" s="41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D10" s="36" t="s">
        <v>347</v>
      </c>
      <c r="AE10" s="61"/>
      <c r="AF10" s="61">
        <f t="shared" si="0"/>
        <v>0</v>
      </c>
      <c r="AG10" s="61">
        <f t="shared" si="1"/>
        <v>0</v>
      </c>
      <c r="AH10" s="61">
        <f>SUM(Z2:Z2000)</f>
        <v>0</v>
      </c>
      <c r="AI10" s="61" t="e">
        <f>AVERAGE(Z2:Z2000)</f>
        <v>#DIV/0!</v>
      </c>
      <c r="AJ10" s="61">
        <f>MAX(Z2:Z2000)</f>
        <v>0</v>
      </c>
      <c r="AK10" s="61">
        <f>MIN(Z2:Z2000)</f>
        <v>0</v>
      </c>
      <c r="AL10" s="61" t="e">
        <f>MODE(Z2:Z2000)</f>
        <v>#N/A</v>
      </c>
      <c r="AM10" s="37">
        <f t="shared" si="2"/>
        <v>0</v>
      </c>
      <c r="AN10" s="37" t="e">
        <f>STDEVP(Z2:Z2000)</f>
        <v>#DIV/0!</v>
      </c>
      <c r="AO10" s="101" t="e">
        <f>IF(AN10=0,1,(AG10-AF10)/6/AN10)</f>
        <v>#DIV/0!</v>
      </c>
      <c r="AP10" s="102" t="e">
        <f t="shared" si="3"/>
        <v>#DIV/0!</v>
      </c>
      <c r="AQ10" s="37" t="e">
        <f t="shared" si="4"/>
        <v>#DIV/0!</v>
      </c>
      <c r="AT10" s="151"/>
    </row>
    <row r="11" spans="2:46" x14ac:dyDescent="0.3">
      <c r="B11" s="36" t="s">
        <v>190</v>
      </c>
      <c r="C11" s="52">
        <v>4.83</v>
      </c>
      <c r="D11" s="51">
        <v>10</v>
      </c>
      <c r="E11" s="51">
        <v>10.5</v>
      </c>
      <c r="F11" s="51">
        <v>27</v>
      </c>
      <c r="G11" s="51">
        <v>30</v>
      </c>
      <c r="H11" s="51">
        <v>20</v>
      </c>
      <c r="I11" s="79" t="s">
        <v>11</v>
      </c>
      <c r="J11" s="79" t="s">
        <v>11</v>
      </c>
      <c r="K11" s="79" t="s">
        <v>11</v>
      </c>
      <c r="L11" s="36" t="s">
        <v>282</v>
      </c>
      <c r="M11" s="36"/>
      <c r="N11" s="36"/>
      <c r="O11" s="67" t="s">
        <v>255</v>
      </c>
      <c r="P11" s="36"/>
      <c r="Q11" s="41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D11" s="89"/>
      <c r="AE11" s="62"/>
      <c r="AF11" s="62"/>
      <c r="AG11" s="62"/>
      <c r="AH11" s="62"/>
      <c r="AI11" s="62"/>
      <c r="AJ11" s="62"/>
      <c r="AK11" s="62"/>
      <c r="AL11" s="62"/>
      <c r="AO11" s="98"/>
      <c r="AP11" s="40"/>
      <c r="AQ11" s="40"/>
    </row>
    <row r="12" spans="2:46" x14ac:dyDescent="0.3">
      <c r="B12" s="36" t="s">
        <v>290</v>
      </c>
      <c r="C12" s="50">
        <v>2.25</v>
      </c>
      <c r="D12" s="50">
        <v>1.5</v>
      </c>
      <c r="E12" s="49">
        <v>4</v>
      </c>
      <c r="F12" s="50">
        <v>0.5</v>
      </c>
      <c r="G12" s="50">
        <v>0.625</v>
      </c>
      <c r="H12" s="49" t="s">
        <v>11</v>
      </c>
      <c r="I12" s="49" t="s">
        <v>11</v>
      </c>
      <c r="J12" s="49" t="s">
        <v>11</v>
      </c>
      <c r="K12" s="49" t="s">
        <v>11</v>
      </c>
      <c r="L12" s="36" t="s">
        <v>325</v>
      </c>
      <c r="M12" s="36"/>
      <c r="N12" s="36"/>
      <c r="O12" s="43" t="s">
        <v>225</v>
      </c>
      <c r="P12" s="36"/>
      <c r="Q12" s="41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D12" s="89"/>
      <c r="AE12" s="107"/>
      <c r="AG12" s="62"/>
      <c r="AH12" s="62"/>
      <c r="AI12" s="62"/>
      <c r="AJ12" s="62"/>
      <c r="AK12" s="62"/>
      <c r="AL12" s="62"/>
      <c r="AO12" s="98"/>
      <c r="AP12" s="40"/>
      <c r="AQ12" s="40"/>
    </row>
    <row r="13" spans="2:46" x14ac:dyDescent="0.3">
      <c r="B13" s="36" t="s">
        <v>190</v>
      </c>
      <c r="C13" s="51">
        <v>4.8600000000000003</v>
      </c>
      <c r="D13" s="51">
        <v>10</v>
      </c>
      <c r="E13" s="51">
        <v>10.5</v>
      </c>
      <c r="F13" s="51">
        <v>27</v>
      </c>
      <c r="G13" s="51">
        <v>30</v>
      </c>
      <c r="H13" s="51">
        <v>20</v>
      </c>
      <c r="I13" s="79" t="s">
        <v>11</v>
      </c>
      <c r="J13" s="79" t="s">
        <v>11</v>
      </c>
      <c r="K13" s="79" t="s">
        <v>11</v>
      </c>
      <c r="L13" s="36" t="s">
        <v>222</v>
      </c>
      <c r="M13" s="36"/>
      <c r="N13" s="36"/>
      <c r="O13" s="67" t="s">
        <v>255</v>
      </c>
      <c r="P13" s="36"/>
      <c r="Q13" s="41"/>
      <c r="R13" s="86"/>
      <c r="S13" s="86"/>
      <c r="T13" s="86"/>
      <c r="U13" s="86"/>
      <c r="V13" s="86"/>
      <c r="W13" s="86"/>
      <c r="X13" s="88"/>
      <c r="Y13" s="88"/>
      <c r="Z13" s="88"/>
      <c r="AA13" s="86"/>
      <c r="AB13" s="86"/>
      <c r="AC13" s="89"/>
      <c r="AD13" s="89"/>
      <c r="AE13" s="107"/>
      <c r="AG13" s="149"/>
      <c r="AH13" s="40"/>
    </row>
    <row r="14" spans="2:46" x14ac:dyDescent="0.3">
      <c r="B14" s="36" t="s">
        <v>290</v>
      </c>
      <c r="C14" s="50">
        <v>2.25</v>
      </c>
      <c r="D14" s="50">
        <v>1.5</v>
      </c>
      <c r="E14" s="49">
        <v>4</v>
      </c>
      <c r="F14" s="50">
        <v>0.5</v>
      </c>
      <c r="G14" s="50">
        <v>0.625</v>
      </c>
      <c r="H14" s="49" t="s">
        <v>11</v>
      </c>
      <c r="I14" s="49" t="s">
        <v>11</v>
      </c>
      <c r="J14" s="49" t="s">
        <v>11</v>
      </c>
      <c r="K14" s="49" t="s">
        <v>11</v>
      </c>
      <c r="L14" s="36" t="s">
        <v>254</v>
      </c>
      <c r="M14" s="37" t="s">
        <v>349</v>
      </c>
      <c r="N14" s="37"/>
      <c r="O14" s="43" t="s">
        <v>225</v>
      </c>
      <c r="P14" s="37"/>
      <c r="Q14" s="41"/>
      <c r="R14" s="87"/>
      <c r="S14" s="87"/>
      <c r="T14" s="86"/>
      <c r="U14" s="87"/>
      <c r="V14" s="87"/>
      <c r="W14" s="86"/>
      <c r="X14" s="86"/>
      <c r="Y14" s="86"/>
      <c r="Z14" s="86"/>
      <c r="AA14" s="86"/>
      <c r="AB14" s="86"/>
      <c r="AC14" s="89"/>
      <c r="AD14" s="89"/>
      <c r="AE14" s="107"/>
      <c r="AG14" s="149"/>
    </row>
    <row r="15" spans="2:46" x14ac:dyDescent="0.3">
      <c r="B15" s="36" t="s">
        <v>190</v>
      </c>
      <c r="C15" s="52">
        <v>4.83</v>
      </c>
      <c r="D15" s="51">
        <v>10</v>
      </c>
      <c r="E15" s="51">
        <v>10.5</v>
      </c>
      <c r="F15" s="51">
        <v>27</v>
      </c>
      <c r="G15" s="51">
        <v>30</v>
      </c>
      <c r="H15" s="51">
        <v>20</v>
      </c>
      <c r="I15" s="79" t="s">
        <v>11</v>
      </c>
      <c r="J15" s="79" t="s">
        <v>11</v>
      </c>
      <c r="K15" s="79" t="s">
        <v>11</v>
      </c>
      <c r="L15" s="36"/>
      <c r="M15" s="37"/>
      <c r="N15" s="37"/>
      <c r="O15" s="67" t="s">
        <v>255</v>
      </c>
      <c r="P15" s="37"/>
      <c r="Q15" s="41"/>
      <c r="R15" s="87"/>
      <c r="S15" s="87"/>
      <c r="T15" s="86"/>
      <c r="U15" s="87"/>
      <c r="V15" s="87"/>
      <c r="W15" s="86"/>
      <c r="X15" s="86"/>
      <c r="Y15" s="94"/>
      <c r="Z15" s="86"/>
      <c r="AA15" s="86"/>
      <c r="AB15" s="86"/>
      <c r="AC15" s="89"/>
      <c r="AD15" s="89"/>
      <c r="AE15" s="107"/>
      <c r="AG15" s="149"/>
    </row>
    <row r="16" spans="2:46" x14ac:dyDescent="0.3">
      <c r="B16" s="36" t="s">
        <v>190</v>
      </c>
      <c r="C16" s="52">
        <v>4.83</v>
      </c>
      <c r="D16" s="51">
        <v>10</v>
      </c>
      <c r="E16" s="51">
        <v>10.5</v>
      </c>
      <c r="F16" s="51">
        <v>27</v>
      </c>
      <c r="G16" s="51">
        <v>30</v>
      </c>
      <c r="H16" s="51">
        <v>20</v>
      </c>
      <c r="I16" s="79" t="s">
        <v>11</v>
      </c>
      <c r="J16" s="79" t="s">
        <v>11</v>
      </c>
      <c r="K16" s="79" t="s">
        <v>11</v>
      </c>
      <c r="L16" s="36"/>
      <c r="M16" s="37"/>
      <c r="N16" s="37"/>
      <c r="O16" s="67" t="s">
        <v>255</v>
      </c>
      <c r="P16" s="37"/>
      <c r="Q16" s="41"/>
      <c r="R16" s="86"/>
      <c r="S16" s="86"/>
      <c r="T16" s="86"/>
      <c r="U16" s="86"/>
      <c r="V16" s="86"/>
      <c r="W16" s="86"/>
      <c r="X16" s="88"/>
      <c r="Y16" s="95"/>
      <c r="Z16" s="88"/>
      <c r="AA16" s="88"/>
      <c r="AB16" s="86"/>
      <c r="AC16" s="89"/>
      <c r="AD16" s="89"/>
      <c r="AE16" s="107"/>
      <c r="AG16" s="149"/>
    </row>
    <row r="17" spans="2:33" x14ac:dyDescent="0.3">
      <c r="B17" s="36" t="s">
        <v>290</v>
      </c>
      <c r="C17" s="64">
        <v>2.2610000000000001</v>
      </c>
      <c r="D17" s="50">
        <v>1.5</v>
      </c>
      <c r="E17" s="49">
        <v>4</v>
      </c>
      <c r="F17" s="50">
        <v>0.5</v>
      </c>
      <c r="G17" s="50">
        <v>0.625</v>
      </c>
      <c r="H17" s="49" t="s">
        <v>11</v>
      </c>
      <c r="I17" s="49" t="s">
        <v>11</v>
      </c>
      <c r="J17" s="49" t="s">
        <v>11</v>
      </c>
      <c r="K17" s="49" t="s">
        <v>11</v>
      </c>
      <c r="L17" s="36" t="s">
        <v>254</v>
      </c>
      <c r="M17" s="37" t="s">
        <v>348</v>
      </c>
      <c r="N17" s="37"/>
      <c r="O17" s="43" t="s">
        <v>225</v>
      </c>
      <c r="P17" s="37"/>
      <c r="Q17" s="41"/>
      <c r="R17" s="86"/>
      <c r="S17" s="86"/>
      <c r="T17" s="90"/>
      <c r="U17" s="86"/>
      <c r="V17" s="86"/>
      <c r="W17" s="86"/>
      <c r="X17" s="86"/>
      <c r="Y17" s="94"/>
      <c r="Z17" s="86"/>
      <c r="AA17" s="86"/>
      <c r="AB17" s="86"/>
      <c r="AC17" s="89"/>
      <c r="AD17" s="89"/>
      <c r="AE17" s="107"/>
      <c r="AG17" s="41"/>
    </row>
    <row r="18" spans="2:33" x14ac:dyDescent="0.3">
      <c r="B18" s="36" t="s">
        <v>290</v>
      </c>
      <c r="C18" s="50">
        <v>2.25</v>
      </c>
      <c r="D18" s="64">
        <v>1.51</v>
      </c>
      <c r="E18" s="49">
        <v>4</v>
      </c>
      <c r="F18" s="50">
        <v>0.5</v>
      </c>
      <c r="G18" s="50">
        <v>0.625</v>
      </c>
      <c r="H18" s="49" t="s">
        <v>11</v>
      </c>
      <c r="I18" s="49" t="s">
        <v>11</v>
      </c>
      <c r="J18" s="49" t="s">
        <v>11</v>
      </c>
      <c r="K18" s="49" t="s">
        <v>11</v>
      </c>
      <c r="L18" s="36" t="s">
        <v>254</v>
      </c>
      <c r="M18" s="37" t="s">
        <v>348</v>
      </c>
      <c r="N18" s="37"/>
      <c r="O18" s="43" t="s">
        <v>225</v>
      </c>
      <c r="P18" s="37"/>
      <c r="Q18" s="41"/>
      <c r="R18" s="87"/>
      <c r="S18" s="87"/>
      <c r="T18" s="86"/>
      <c r="U18" s="87"/>
      <c r="V18" s="87"/>
      <c r="W18" s="86"/>
      <c r="X18" s="86"/>
      <c r="Y18" s="94"/>
      <c r="Z18" s="86"/>
      <c r="AA18" s="86"/>
      <c r="AB18" s="86"/>
      <c r="AC18" s="89"/>
      <c r="AD18" s="89"/>
      <c r="AE18" s="107"/>
      <c r="AG18" s="41"/>
    </row>
    <row r="19" spans="2:33" x14ac:dyDescent="0.3">
      <c r="B19" s="36" t="s">
        <v>290</v>
      </c>
      <c r="C19" s="50">
        <v>2.25</v>
      </c>
      <c r="D19" s="64">
        <v>1.51</v>
      </c>
      <c r="E19" s="49">
        <v>4</v>
      </c>
      <c r="F19" s="50">
        <v>0.5</v>
      </c>
      <c r="G19" s="50">
        <v>0.625</v>
      </c>
      <c r="H19" s="49" t="s">
        <v>11</v>
      </c>
      <c r="I19" s="49" t="s">
        <v>11</v>
      </c>
      <c r="J19" s="49" t="s">
        <v>11</v>
      </c>
      <c r="K19" s="49" t="s">
        <v>11</v>
      </c>
      <c r="L19" s="36" t="s">
        <v>222</v>
      </c>
      <c r="M19" s="37"/>
      <c r="N19" s="37"/>
      <c r="O19" s="43" t="s">
        <v>225</v>
      </c>
      <c r="P19" s="37"/>
      <c r="Q19" s="41"/>
      <c r="R19" s="89"/>
      <c r="S19" s="89"/>
      <c r="T19" s="89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107"/>
      <c r="AG19" s="41"/>
    </row>
    <row r="20" spans="2:33" x14ac:dyDescent="0.3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107"/>
      <c r="AG20" s="41"/>
    </row>
    <row r="21" spans="2:33" x14ac:dyDescent="0.3">
      <c r="Q21" s="41"/>
      <c r="R21" s="89"/>
      <c r="S21" s="89"/>
      <c r="T21" s="89"/>
      <c r="U21" s="89"/>
      <c r="V21" s="89"/>
      <c r="W21" s="89"/>
      <c r="X21" s="89"/>
      <c r="Y21" s="89"/>
      <c r="Z21" s="89"/>
      <c r="AA21" s="89"/>
      <c r="AB21" s="89"/>
      <c r="AC21" s="89"/>
      <c r="AD21" s="89"/>
    </row>
    <row r="22" spans="2:33" x14ac:dyDescent="0.3">
      <c r="F22" s="85"/>
      <c r="Q22" s="41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</row>
    <row r="23" spans="2:33" x14ac:dyDescent="0.3"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</row>
    <row r="24" spans="2:33" x14ac:dyDescent="0.3">
      <c r="R24" s="89"/>
      <c r="S24" s="89"/>
      <c r="T24" s="89"/>
      <c r="U24" s="89"/>
      <c r="V24" s="89"/>
      <c r="W24" s="89"/>
      <c r="X24" s="89"/>
      <c r="Y24" s="89"/>
      <c r="Z24" s="89"/>
      <c r="AA24" s="89"/>
      <c r="AB24" s="89"/>
      <c r="AC24" s="89"/>
      <c r="AD24" s="89"/>
    </row>
    <row r="25" spans="2:33" x14ac:dyDescent="0.3">
      <c r="R25" s="89"/>
      <c r="S25" s="89"/>
      <c r="T25" s="89"/>
      <c r="U25" s="89"/>
      <c r="V25" s="89"/>
      <c r="W25" s="89"/>
      <c r="X25" s="89"/>
      <c r="Y25" s="89"/>
      <c r="Z25" s="89"/>
      <c r="AA25" s="89"/>
      <c r="AB25" s="89"/>
      <c r="AC25" s="89"/>
      <c r="AD25" s="89"/>
    </row>
    <row r="26" spans="2:33" x14ac:dyDescent="0.3"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</row>
    <row r="27" spans="2:33" x14ac:dyDescent="0.3">
      <c r="R27" s="89"/>
      <c r="S27" s="89"/>
      <c r="T27" s="89"/>
      <c r="U27" s="89"/>
      <c r="V27" s="89"/>
      <c r="W27" s="89"/>
      <c r="X27" s="89"/>
      <c r="Y27" s="89"/>
      <c r="Z27" s="89"/>
      <c r="AA27" s="89"/>
      <c r="AB27" s="89"/>
      <c r="AC27" s="89"/>
      <c r="AD27" s="89"/>
    </row>
    <row r="28" spans="2:33" x14ac:dyDescent="0.3"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</row>
    <row r="29" spans="2:33" x14ac:dyDescent="0.3"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</row>
    <row r="30" spans="2:33" x14ac:dyDescent="0.3">
      <c r="R30" s="89"/>
      <c r="S30" s="89"/>
      <c r="T30" s="89"/>
      <c r="U30" s="89"/>
      <c r="V30" s="89"/>
      <c r="W30" s="89"/>
      <c r="X30" s="89"/>
      <c r="Y30" s="89"/>
      <c r="Z30" s="89"/>
      <c r="AA30" s="89"/>
      <c r="AB30" s="89"/>
      <c r="AC30" s="89"/>
      <c r="AD30" s="89"/>
    </row>
    <row r="31" spans="2:33" x14ac:dyDescent="0.3">
      <c r="R31" s="89"/>
      <c r="S31" s="89"/>
      <c r="T31" s="89"/>
      <c r="U31" s="89"/>
      <c r="V31" s="89"/>
      <c r="W31" s="89"/>
      <c r="X31" s="89"/>
      <c r="Y31" s="89"/>
      <c r="Z31" s="89"/>
      <c r="AA31" s="89"/>
      <c r="AB31" s="89"/>
      <c r="AC31" s="89"/>
      <c r="AD31" s="89"/>
    </row>
    <row r="32" spans="2:33" x14ac:dyDescent="0.3"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</row>
    <row r="33" spans="18:30" x14ac:dyDescent="0.3"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</row>
    <row r="34" spans="18:30" x14ac:dyDescent="0.3"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</row>
    <row r="35" spans="18:30" x14ac:dyDescent="0.3"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</row>
    <row r="36" spans="18:30" x14ac:dyDescent="0.3"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</row>
    <row r="37" spans="18:30" x14ac:dyDescent="0.3"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</row>
    <row r="38" spans="18:30" x14ac:dyDescent="0.3"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</row>
    <row r="39" spans="18:30" x14ac:dyDescent="0.3"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</row>
    <row r="40" spans="18:30" x14ac:dyDescent="0.3"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</row>
    <row r="41" spans="18:30" x14ac:dyDescent="0.3"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</row>
    <row r="42" spans="18:30" x14ac:dyDescent="0.3"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</row>
    <row r="43" spans="18:30" x14ac:dyDescent="0.3"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</row>
    <row r="44" spans="18:30" x14ac:dyDescent="0.3"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</row>
    <row r="45" spans="18:30" x14ac:dyDescent="0.3"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</row>
    <row r="46" spans="18:30" x14ac:dyDescent="0.3"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</row>
    <row r="47" spans="18:30" x14ac:dyDescent="0.3"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</row>
    <row r="48" spans="18:30" x14ac:dyDescent="0.3"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</row>
    <row r="49" spans="18:30" x14ac:dyDescent="0.3"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</row>
    <row r="50" spans="18:30" x14ac:dyDescent="0.3"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</row>
    <row r="51" spans="18:30" x14ac:dyDescent="0.3"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</row>
    <row r="52" spans="18:30" x14ac:dyDescent="0.3"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</row>
    <row r="53" spans="18:30" x14ac:dyDescent="0.3"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</row>
    <row r="54" spans="18:30" x14ac:dyDescent="0.3"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</row>
    <row r="55" spans="18:30" x14ac:dyDescent="0.3"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</row>
    <row r="56" spans="18:30" x14ac:dyDescent="0.3"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</row>
    <row r="57" spans="18:30" x14ac:dyDescent="0.3"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</row>
    <row r="58" spans="18:30" x14ac:dyDescent="0.3"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</row>
    <row r="59" spans="18:30" x14ac:dyDescent="0.3"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</row>
    <row r="60" spans="18:30" x14ac:dyDescent="0.3"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</row>
    <row r="61" spans="18:30" x14ac:dyDescent="0.3"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</row>
    <row r="62" spans="18:30" x14ac:dyDescent="0.3"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</row>
    <row r="63" spans="18:30" x14ac:dyDescent="0.3"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</row>
    <row r="64" spans="18:30" x14ac:dyDescent="0.3"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</row>
    <row r="65" spans="18:30" x14ac:dyDescent="0.3"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</row>
    <row r="66" spans="18:30" x14ac:dyDescent="0.3"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</row>
    <row r="67" spans="18:30" x14ac:dyDescent="0.3"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</row>
    <row r="68" spans="18:30" x14ac:dyDescent="0.3"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</row>
    <row r="69" spans="18:30" x14ac:dyDescent="0.3"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</row>
    <row r="70" spans="18:30" x14ac:dyDescent="0.3"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</row>
    <row r="71" spans="18:30" x14ac:dyDescent="0.3"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</row>
    <row r="72" spans="18:30" x14ac:dyDescent="0.3"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</row>
    <row r="73" spans="18:30" x14ac:dyDescent="0.3"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</row>
    <row r="74" spans="18:30" x14ac:dyDescent="0.3"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</row>
    <row r="75" spans="18:30" x14ac:dyDescent="0.3"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</row>
    <row r="76" spans="18:30" x14ac:dyDescent="0.3"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</row>
    <row r="77" spans="18:30" x14ac:dyDescent="0.3"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</row>
    <row r="78" spans="18:30" x14ac:dyDescent="0.3"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</row>
    <row r="79" spans="18:30" x14ac:dyDescent="0.3"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</row>
    <row r="80" spans="18:30" x14ac:dyDescent="0.3"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</row>
    <row r="81" spans="18:30" x14ac:dyDescent="0.3"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</row>
    <row r="82" spans="18:30" x14ac:dyDescent="0.3"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</row>
    <row r="83" spans="18:30" x14ac:dyDescent="0.3"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</row>
    <row r="84" spans="18:30" x14ac:dyDescent="0.3"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</row>
    <row r="85" spans="18:30" x14ac:dyDescent="0.3"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</row>
    <row r="86" spans="18:30" x14ac:dyDescent="0.3"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</row>
    <row r="87" spans="18:30" x14ac:dyDescent="0.3"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89"/>
      <c r="AC87" s="89"/>
      <c r="AD87" s="89"/>
    </row>
    <row r="88" spans="18:30" x14ac:dyDescent="0.3"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89"/>
      <c r="AC88" s="89"/>
      <c r="AD88" s="89"/>
    </row>
    <row r="89" spans="18:30" x14ac:dyDescent="0.3"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89"/>
      <c r="AC89" s="89"/>
      <c r="AD89" s="89"/>
    </row>
    <row r="90" spans="18:30" x14ac:dyDescent="0.3"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</row>
    <row r="91" spans="18:30" x14ac:dyDescent="0.3"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</row>
    <row r="92" spans="18:30" x14ac:dyDescent="0.3"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89"/>
      <c r="AC92" s="89"/>
      <c r="AD92" s="89"/>
    </row>
    <row r="93" spans="18:30" x14ac:dyDescent="0.3"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89"/>
      <c r="AC93" s="89"/>
      <c r="AD93" s="89"/>
    </row>
    <row r="94" spans="18:30" x14ac:dyDescent="0.3"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89"/>
      <c r="AC94" s="89"/>
      <c r="AD94" s="89"/>
    </row>
    <row r="95" spans="18:30" x14ac:dyDescent="0.3"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</row>
    <row r="96" spans="18:30" x14ac:dyDescent="0.3"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89"/>
      <c r="AC96" s="89"/>
      <c r="AD96" s="89"/>
    </row>
    <row r="97" spans="18:30" x14ac:dyDescent="0.3"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</row>
    <row r="98" spans="18:30" x14ac:dyDescent="0.3"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</row>
    <row r="99" spans="18:30" x14ac:dyDescent="0.3"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</row>
    <row r="100" spans="18:30" x14ac:dyDescent="0.3"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89"/>
      <c r="AC100" s="89"/>
      <c r="AD100" s="89"/>
    </row>
    <row r="101" spans="18:30" x14ac:dyDescent="0.3"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89"/>
      <c r="AC101" s="89"/>
      <c r="AD101" s="89"/>
    </row>
    <row r="102" spans="18:30" x14ac:dyDescent="0.3"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89"/>
      <c r="AC102" s="89"/>
      <c r="AD102" s="89"/>
    </row>
    <row r="103" spans="18:30" x14ac:dyDescent="0.3"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</row>
    <row r="104" spans="18:30" x14ac:dyDescent="0.3"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89"/>
      <c r="AC104" s="89"/>
      <c r="AD104" s="89"/>
    </row>
    <row r="105" spans="18:30" x14ac:dyDescent="0.3"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89"/>
      <c r="AC105" s="89"/>
      <c r="AD105" s="89"/>
    </row>
    <row r="106" spans="18:30" x14ac:dyDescent="0.3"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</row>
    <row r="107" spans="18:30" x14ac:dyDescent="0.3"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89"/>
      <c r="AC107" s="89"/>
      <c r="AD107" s="89"/>
    </row>
    <row r="108" spans="18:30" x14ac:dyDescent="0.3"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89"/>
      <c r="AC108" s="89"/>
      <c r="AD108" s="89"/>
    </row>
    <row r="109" spans="18:30" x14ac:dyDescent="0.3"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</row>
    <row r="110" spans="18:30" x14ac:dyDescent="0.3"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89"/>
      <c r="AC110" s="89"/>
      <c r="AD110" s="89"/>
    </row>
    <row r="111" spans="18:30" x14ac:dyDescent="0.3"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89"/>
      <c r="AC111" s="89"/>
      <c r="AD111" s="89"/>
    </row>
    <row r="112" spans="18:30" x14ac:dyDescent="0.3"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89"/>
      <c r="AC112" s="89"/>
      <c r="AD112" s="89"/>
    </row>
    <row r="113" spans="18:30" x14ac:dyDescent="0.3"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89"/>
      <c r="AC113" s="89"/>
      <c r="AD113" s="89"/>
    </row>
    <row r="114" spans="18:30" x14ac:dyDescent="0.3"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89"/>
      <c r="AC114" s="89"/>
      <c r="AD114" s="89"/>
    </row>
    <row r="115" spans="18:30" x14ac:dyDescent="0.3"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</row>
    <row r="116" spans="18:30" x14ac:dyDescent="0.3"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89"/>
      <c r="AC116" s="89"/>
      <c r="AD116" s="89"/>
    </row>
    <row r="117" spans="18:30" x14ac:dyDescent="0.3"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</row>
    <row r="118" spans="18:30" x14ac:dyDescent="0.3"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89"/>
      <c r="AC118" s="89"/>
      <c r="AD118" s="89"/>
    </row>
    <row r="119" spans="18:30" x14ac:dyDescent="0.3"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89"/>
      <c r="AC119" s="89"/>
      <c r="AD119" s="89"/>
    </row>
    <row r="120" spans="18:30" x14ac:dyDescent="0.3"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</row>
    <row r="121" spans="18:30" x14ac:dyDescent="0.3"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89"/>
      <c r="AC121" s="89"/>
      <c r="AD121" s="89"/>
    </row>
    <row r="122" spans="18:30" x14ac:dyDescent="0.3"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89"/>
      <c r="AC122" s="89"/>
      <c r="AD122" s="89"/>
    </row>
    <row r="123" spans="18:30" x14ac:dyDescent="0.3"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</row>
    <row r="124" spans="18:30" x14ac:dyDescent="0.3"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89"/>
      <c r="AC124" s="89"/>
      <c r="AD124" s="89"/>
    </row>
    <row r="125" spans="18:30" x14ac:dyDescent="0.3"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89"/>
      <c r="AC125" s="89"/>
      <c r="AD125" s="89"/>
    </row>
    <row r="126" spans="18:30" x14ac:dyDescent="0.3"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</row>
    <row r="127" spans="18:30" x14ac:dyDescent="0.3"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</row>
    <row r="128" spans="18:30" x14ac:dyDescent="0.3"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</row>
    <row r="129" spans="18:30" x14ac:dyDescent="0.3"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</row>
    <row r="130" spans="18:30" x14ac:dyDescent="0.3"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</row>
    <row r="131" spans="18:30" x14ac:dyDescent="0.3"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</row>
    <row r="132" spans="18:30" x14ac:dyDescent="0.3"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</row>
    <row r="133" spans="18:30" x14ac:dyDescent="0.3"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</row>
    <row r="134" spans="18:30" x14ac:dyDescent="0.3"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</row>
    <row r="135" spans="18:30" x14ac:dyDescent="0.3"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</row>
    <row r="136" spans="18:30" x14ac:dyDescent="0.3"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</row>
    <row r="137" spans="18:30" x14ac:dyDescent="0.3"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</row>
    <row r="138" spans="18:30" x14ac:dyDescent="0.3"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</row>
    <row r="139" spans="18:30" x14ac:dyDescent="0.3"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</row>
    <row r="140" spans="18:30" x14ac:dyDescent="0.3"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</row>
    <row r="141" spans="18:30" x14ac:dyDescent="0.3"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</row>
    <row r="142" spans="18:30" x14ac:dyDescent="0.3"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</row>
    <row r="143" spans="18:30" x14ac:dyDescent="0.3"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</row>
    <row r="144" spans="18:30" x14ac:dyDescent="0.3">
      <c r="R144" s="89"/>
      <c r="S144" s="89"/>
      <c r="T144" s="89"/>
      <c r="U144" s="89"/>
      <c r="V144" s="89"/>
      <c r="W144" s="89"/>
      <c r="X144" s="89"/>
      <c r="Y144" s="89"/>
      <c r="Z144" s="89"/>
      <c r="AA144" s="89"/>
      <c r="AB144" s="89"/>
      <c r="AC144" s="89"/>
      <c r="AD144" s="89"/>
    </row>
    <row r="145" spans="18:30" x14ac:dyDescent="0.3">
      <c r="R145" s="89"/>
      <c r="S145" s="89"/>
      <c r="T145" s="89"/>
      <c r="U145" s="89"/>
      <c r="V145" s="89"/>
      <c r="W145" s="89"/>
      <c r="X145" s="89"/>
      <c r="Y145" s="89"/>
      <c r="Z145" s="89"/>
      <c r="AA145" s="89"/>
      <c r="AB145" s="89"/>
      <c r="AC145" s="89"/>
      <c r="AD145" s="89"/>
    </row>
    <row r="146" spans="18:30" x14ac:dyDescent="0.3">
      <c r="R146" s="89"/>
      <c r="S146" s="89"/>
      <c r="T146" s="89"/>
      <c r="U146" s="89"/>
      <c r="V146" s="89"/>
      <c r="W146" s="89"/>
      <c r="X146" s="89"/>
      <c r="Y146" s="89"/>
      <c r="Z146" s="89"/>
      <c r="AA146" s="89"/>
      <c r="AB146" s="89"/>
      <c r="AC146" s="89"/>
      <c r="AD146" s="89"/>
    </row>
    <row r="147" spans="18:30" x14ac:dyDescent="0.3">
      <c r="R147" s="89"/>
      <c r="S147" s="89"/>
      <c r="T147" s="89"/>
      <c r="U147" s="89"/>
      <c r="V147" s="89"/>
      <c r="W147" s="89"/>
      <c r="X147" s="89"/>
      <c r="Y147" s="89"/>
      <c r="Z147" s="89"/>
      <c r="AA147" s="89"/>
      <c r="AB147" s="89"/>
      <c r="AC147" s="89"/>
      <c r="AD147" s="89"/>
    </row>
    <row r="148" spans="18:30" x14ac:dyDescent="0.3">
      <c r="R148" s="89"/>
      <c r="S148" s="89"/>
      <c r="T148" s="89"/>
      <c r="U148" s="89"/>
      <c r="V148" s="89"/>
      <c r="W148" s="89"/>
      <c r="X148" s="89"/>
      <c r="Y148" s="89"/>
      <c r="Z148" s="89"/>
      <c r="AA148" s="89"/>
      <c r="AB148" s="89"/>
      <c r="AC148" s="89"/>
      <c r="AD148" s="89"/>
    </row>
    <row r="149" spans="18:30" x14ac:dyDescent="0.3">
      <c r="R149" s="89"/>
      <c r="S149" s="89"/>
      <c r="T149" s="89"/>
      <c r="U149" s="89"/>
      <c r="V149" s="89"/>
      <c r="W149" s="89"/>
      <c r="X149" s="89"/>
      <c r="Y149" s="89"/>
      <c r="Z149" s="89"/>
      <c r="AA149" s="89"/>
      <c r="AB149" s="89"/>
      <c r="AC149" s="89"/>
      <c r="AD149" s="89"/>
    </row>
    <row r="150" spans="18:30" x14ac:dyDescent="0.3">
      <c r="R150" s="89"/>
      <c r="S150" s="89"/>
      <c r="T150" s="89"/>
      <c r="U150" s="89"/>
      <c r="V150" s="89"/>
      <c r="W150" s="89"/>
      <c r="X150" s="89"/>
      <c r="Y150" s="89"/>
      <c r="Z150" s="89"/>
      <c r="AA150" s="89"/>
      <c r="AB150" s="89"/>
      <c r="AC150" s="89"/>
      <c r="AD150" s="89"/>
    </row>
    <row r="151" spans="18:30" x14ac:dyDescent="0.3">
      <c r="R151" s="89"/>
      <c r="S151" s="89"/>
      <c r="T151" s="89"/>
      <c r="U151" s="89"/>
      <c r="V151" s="89"/>
      <c r="W151" s="89"/>
      <c r="X151" s="89"/>
      <c r="Y151" s="89"/>
      <c r="Z151" s="89"/>
      <c r="AA151" s="89"/>
      <c r="AB151" s="89"/>
      <c r="AC151" s="89"/>
      <c r="AD151" s="89"/>
    </row>
    <row r="152" spans="18:30" x14ac:dyDescent="0.3">
      <c r="R152" s="89"/>
      <c r="S152" s="89"/>
      <c r="T152" s="89"/>
      <c r="U152" s="89"/>
      <c r="V152" s="89"/>
      <c r="W152" s="89"/>
      <c r="X152" s="89"/>
      <c r="Y152" s="89"/>
      <c r="Z152" s="89"/>
      <c r="AA152" s="89"/>
      <c r="AB152" s="89"/>
      <c r="AC152" s="89"/>
      <c r="AD152" s="89"/>
    </row>
    <row r="153" spans="18:30" x14ac:dyDescent="0.3">
      <c r="R153" s="89"/>
      <c r="S153" s="89"/>
      <c r="T153" s="89"/>
      <c r="U153" s="89"/>
      <c r="V153" s="89"/>
      <c r="W153" s="89"/>
      <c r="X153" s="89"/>
      <c r="Y153" s="89"/>
      <c r="Z153" s="89"/>
      <c r="AA153" s="89"/>
      <c r="AB153" s="89"/>
      <c r="AC153" s="89"/>
      <c r="AD153" s="89"/>
    </row>
    <row r="154" spans="18:30" x14ac:dyDescent="0.3"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</row>
    <row r="155" spans="18:30" x14ac:dyDescent="0.3">
      <c r="R155" s="89"/>
      <c r="S155" s="89"/>
      <c r="T155" s="89"/>
      <c r="U155" s="89"/>
      <c r="V155" s="89"/>
      <c r="W155" s="89"/>
      <c r="X155" s="89"/>
      <c r="Y155" s="89"/>
      <c r="Z155" s="89"/>
      <c r="AA155" s="89"/>
      <c r="AB155" s="89"/>
      <c r="AC155" s="89"/>
      <c r="AD155" s="89"/>
    </row>
    <row r="156" spans="18:30" x14ac:dyDescent="0.3">
      <c r="R156" s="89"/>
      <c r="S156" s="89"/>
      <c r="T156" s="89"/>
      <c r="U156" s="89"/>
      <c r="V156" s="89"/>
      <c r="W156" s="89"/>
      <c r="X156" s="89"/>
      <c r="Y156" s="89"/>
      <c r="Z156" s="89"/>
      <c r="AA156" s="89"/>
      <c r="AB156" s="89"/>
      <c r="AC156" s="89"/>
      <c r="AD156" s="89"/>
    </row>
    <row r="157" spans="18:30" x14ac:dyDescent="0.3">
      <c r="R157" s="89"/>
      <c r="S157" s="89"/>
      <c r="T157" s="89"/>
      <c r="U157" s="89"/>
      <c r="V157" s="89"/>
      <c r="W157" s="89"/>
      <c r="X157" s="89"/>
      <c r="Y157" s="89"/>
      <c r="Z157" s="89"/>
      <c r="AA157" s="89"/>
      <c r="AB157" s="89"/>
      <c r="AC157" s="89"/>
      <c r="AD157" s="89"/>
    </row>
    <row r="158" spans="18:30" x14ac:dyDescent="0.3">
      <c r="R158" s="89"/>
      <c r="S158" s="89"/>
      <c r="T158" s="89"/>
      <c r="U158" s="89"/>
      <c r="V158" s="89"/>
      <c r="W158" s="89"/>
      <c r="X158" s="89"/>
      <c r="Y158" s="89"/>
      <c r="Z158" s="89"/>
      <c r="AA158" s="89"/>
      <c r="AB158" s="89"/>
      <c r="AC158" s="89"/>
      <c r="AD158" s="89"/>
    </row>
    <row r="159" spans="18:30" x14ac:dyDescent="0.3">
      <c r="R159" s="89"/>
      <c r="S159" s="89"/>
      <c r="T159" s="89"/>
      <c r="U159" s="89"/>
      <c r="V159" s="89"/>
      <c r="W159" s="89"/>
      <c r="X159" s="89"/>
      <c r="Y159" s="89"/>
      <c r="Z159" s="89"/>
      <c r="AA159" s="89"/>
      <c r="AB159" s="89"/>
      <c r="AC159" s="89"/>
      <c r="AD159" s="89"/>
    </row>
    <row r="160" spans="18:30" x14ac:dyDescent="0.3">
      <c r="R160" s="89"/>
      <c r="S160" s="89"/>
      <c r="T160" s="89"/>
      <c r="U160" s="89"/>
      <c r="V160" s="89"/>
      <c r="W160" s="89"/>
      <c r="X160" s="89"/>
      <c r="Y160" s="89"/>
      <c r="Z160" s="89"/>
      <c r="AA160" s="89"/>
      <c r="AB160" s="89"/>
      <c r="AC160" s="89"/>
      <c r="AD160" s="89"/>
    </row>
    <row r="161" spans="18:30" x14ac:dyDescent="0.3">
      <c r="R161" s="89"/>
      <c r="S161" s="89"/>
      <c r="T161" s="89"/>
      <c r="U161" s="89"/>
      <c r="V161" s="89"/>
      <c r="W161" s="89"/>
      <c r="X161" s="89"/>
      <c r="Y161" s="89"/>
      <c r="Z161" s="89"/>
      <c r="AA161" s="89"/>
      <c r="AB161" s="89"/>
      <c r="AC161" s="89"/>
      <c r="AD161" s="89"/>
    </row>
    <row r="162" spans="18:30" x14ac:dyDescent="0.3">
      <c r="R162" s="89"/>
      <c r="S162" s="89"/>
      <c r="T162" s="89"/>
      <c r="U162" s="89"/>
      <c r="V162" s="89"/>
      <c r="W162" s="89"/>
      <c r="X162" s="89"/>
      <c r="Y162" s="89"/>
      <c r="Z162" s="89"/>
      <c r="AA162" s="89"/>
      <c r="AB162" s="89"/>
      <c r="AC162" s="89"/>
      <c r="AD162" s="89"/>
    </row>
    <row r="163" spans="18:30" x14ac:dyDescent="0.3"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</row>
    <row r="164" spans="18:30" x14ac:dyDescent="0.3">
      <c r="R164" s="89"/>
      <c r="S164" s="89"/>
      <c r="T164" s="89"/>
      <c r="U164" s="89"/>
      <c r="V164" s="89"/>
      <c r="W164" s="89"/>
      <c r="X164" s="89"/>
      <c r="Y164" s="89"/>
      <c r="Z164" s="89"/>
      <c r="AA164" s="89"/>
      <c r="AB164" s="89"/>
      <c r="AC164" s="89"/>
      <c r="AD164" s="89"/>
    </row>
    <row r="165" spans="18:30" x14ac:dyDescent="0.3">
      <c r="R165" s="89"/>
      <c r="S165" s="89"/>
      <c r="T165" s="89"/>
      <c r="U165" s="89"/>
      <c r="V165" s="89"/>
      <c r="W165" s="89"/>
      <c r="X165" s="89"/>
      <c r="Y165" s="89"/>
      <c r="Z165" s="89"/>
      <c r="AA165" s="89"/>
      <c r="AB165" s="89"/>
      <c r="AC165" s="89"/>
      <c r="AD165" s="89"/>
    </row>
    <row r="166" spans="18:30" x14ac:dyDescent="0.3">
      <c r="R166" s="89"/>
      <c r="S166" s="89"/>
      <c r="T166" s="89"/>
      <c r="U166" s="89"/>
      <c r="V166" s="89"/>
      <c r="W166" s="89"/>
      <c r="X166" s="89"/>
      <c r="Y166" s="89"/>
      <c r="Z166" s="89"/>
      <c r="AA166" s="89"/>
      <c r="AB166" s="89"/>
      <c r="AC166" s="89"/>
      <c r="AD166" s="89"/>
    </row>
    <row r="167" spans="18:30" x14ac:dyDescent="0.3">
      <c r="R167" s="89"/>
      <c r="S167" s="89"/>
      <c r="T167" s="89"/>
      <c r="U167" s="89"/>
      <c r="V167" s="89"/>
      <c r="W167" s="89"/>
      <c r="X167" s="89"/>
      <c r="Y167" s="89"/>
      <c r="Z167" s="89"/>
      <c r="AA167" s="89"/>
      <c r="AB167" s="89"/>
      <c r="AC167" s="89"/>
      <c r="AD167" s="89"/>
    </row>
    <row r="168" spans="18:30" x14ac:dyDescent="0.3">
      <c r="R168" s="89"/>
      <c r="S168" s="89"/>
      <c r="T168" s="89"/>
      <c r="U168" s="89"/>
      <c r="V168" s="89"/>
      <c r="W168" s="89"/>
      <c r="X168" s="89"/>
      <c r="Y168" s="89"/>
      <c r="Z168" s="89"/>
      <c r="AA168" s="89"/>
      <c r="AB168" s="89"/>
      <c r="AC168" s="89"/>
      <c r="AD168" s="89"/>
    </row>
    <row r="169" spans="18:30" x14ac:dyDescent="0.3">
      <c r="R169" s="89"/>
      <c r="S169" s="89"/>
      <c r="T169" s="89"/>
      <c r="U169" s="89"/>
      <c r="V169" s="89"/>
      <c r="W169" s="89"/>
      <c r="X169" s="89"/>
      <c r="Y169" s="89"/>
      <c r="Z169" s="89"/>
      <c r="AA169" s="89"/>
      <c r="AB169" s="89"/>
      <c r="AC169" s="89"/>
      <c r="AD169" s="89"/>
    </row>
    <row r="170" spans="18:30" x14ac:dyDescent="0.3">
      <c r="R170" s="89"/>
      <c r="S170" s="89"/>
      <c r="T170" s="89"/>
      <c r="U170" s="89"/>
      <c r="V170" s="89"/>
      <c r="W170" s="89"/>
      <c r="X170" s="89"/>
      <c r="Y170" s="89"/>
      <c r="Z170" s="89"/>
      <c r="AA170" s="89"/>
      <c r="AB170" s="89"/>
      <c r="AC170" s="89"/>
      <c r="AD170" s="89"/>
    </row>
    <row r="171" spans="18:30" x14ac:dyDescent="0.3"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</row>
    <row r="172" spans="18:30" x14ac:dyDescent="0.3">
      <c r="R172" s="89"/>
      <c r="S172" s="89"/>
      <c r="T172" s="89"/>
      <c r="U172" s="89"/>
      <c r="V172" s="89"/>
      <c r="W172" s="89"/>
      <c r="X172" s="89"/>
      <c r="Y172" s="89"/>
      <c r="Z172" s="89"/>
      <c r="AA172" s="89"/>
      <c r="AB172" s="89"/>
      <c r="AC172" s="89"/>
      <c r="AD172" s="89"/>
    </row>
    <row r="173" spans="18:30" x14ac:dyDescent="0.3">
      <c r="R173" s="89"/>
      <c r="S173" s="89"/>
      <c r="T173" s="89"/>
      <c r="U173" s="89"/>
      <c r="V173" s="89"/>
      <c r="W173" s="89"/>
      <c r="X173" s="89"/>
      <c r="Y173" s="89"/>
      <c r="Z173" s="89"/>
      <c r="AA173" s="89"/>
      <c r="AB173" s="89"/>
      <c r="AC173" s="89"/>
      <c r="AD173" s="89"/>
    </row>
    <row r="174" spans="18:30" x14ac:dyDescent="0.3">
      <c r="R174" s="89"/>
      <c r="S174" s="89"/>
      <c r="T174" s="89"/>
      <c r="U174" s="89"/>
      <c r="V174" s="89"/>
      <c r="W174" s="89"/>
      <c r="X174" s="89"/>
      <c r="Y174" s="89"/>
      <c r="Z174" s="89"/>
      <c r="AA174" s="89"/>
      <c r="AB174" s="89"/>
      <c r="AC174" s="89"/>
      <c r="AD174" s="89"/>
    </row>
    <row r="175" spans="18:30" x14ac:dyDescent="0.3">
      <c r="R175" s="89"/>
      <c r="S175" s="89"/>
      <c r="T175" s="89"/>
      <c r="U175" s="89"/>
      <c r="V175" s="89"/>
      <c r="W175" s="89"/>
      <c r="X175" s="89"/>
      <c r="Y175" s="89"/>
      <c r="Z175" s="89"/>
      <c r="AA175" s="89"/>
      <c r="AB175" s="89"/>
      <c r="AC175" s="89"/>
      <c r="AD175" s="89"/>
    </row>
    <row r="176" spans="18:30" x14ac:dyDescent="0.3"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9"/>
      <c r="AC176" s="89"/>
      <c r="AD176" s="89"/>
    </row>
    <row r="177" spans="18:30" x14ac:dyDescent="0.3">
      <c r="R177" s="89"/>
      <c r="S177" s="89"/>
      <c r="T177" s="89"/>
      <c r="U177" s="89"/>
      <c r="V177" s="89"/>
      <c r="W177" s="89"/>
      <c r="X177" s="89"/>
      <c r="Y177" s="89"/>
      <c r="Z177" s="89"/>
      <c r="AA177" s="89"/>
      <c r="AB177" s="89"/>
      <c r="AC177" s="89"/>
      <c r="AD177" s="89"/>
    </row>
    <row r="178" spans="18:30" x14ac:dyDescent="0.3">
      <c r="R178" s="89"/>
      <c r="S178" s="89"/>
      <c r="T178" s="89"/>
      <c r="U178" s="89"/>
      <c r="V178" s="89"/>
      <c r="W178" s="89"/>
      <c r="X178" s="89"/>
      <c r="Y178" s="89"/>
      <c r="Z178" s="89"/>
      <c r="AA178" s="89"/>
      <c r="AB178" s="89"/>
      <c r="AC178" s="89"/>
      <c r="AD178" s="89"/>
    </row>
    <row r="179" spans="18:30" x14ac:dyDescent="0.3">
      <c r="R179" s="89"/>
      <c r="S179" s="89"/>
      <c r="T179" s="89"/>
      <c r="U179" s="89"/>
      <c r="V179" s="89"/>
      <c r="W179" s="89"/>
      <c r="X179" s="89"/>
      <c r="Y179" s="89"/>
      <c r="Z179" s="89"/>
      <c r="AA179" s="89"/>
      <c r="AB179" s="89"/>
      <c r="AC179" s="89"/>
      <c r="AD179" s="89"/>
    </row>
    <row r="180" spans="18:30" x14ac:dyDescent="0.3">
      <c r="R180" s="89"/>
      <c r="S180" s="89"/>
      <c r="T180" s="89"/>
      <c r="U180" s="89"/>
      <c r="V180" s="89"/>
      <c r="W180" s="89"/>
      <c r="X180" s="89"/>
      <c r="Y180" s="89"/>
      <c r="Z180" s="89"/>
      <c r="AA180" s="89"/>
      <c r="AB180" s="89"/>
      <c r="AC180" s="89"/>
      <c r="AD180" s="89"/>
    </row>
    <row r="181" spans="18:30" x14ac:dyDescent="0.3">
      <c r="R181" s="89"/>
      <c r="S181" s="89"/>
      <c r="T181" s="89"/>
      <c r="U181" s="89"/>
      <c r="V181" s="89"/>
      <c r="W181" s="89"/>
      <c r="X181" s="89"/>
      <c r="Y181" s="89"/>
      <c r="Z181" s="89"/>
      <c r="AA181" s="89"/>
      <c r="AB181" s="89"/>
      <c r="AC181" s="89"/>
      <c r="AD181" s="89"/>
    </row>
    <row r="182" spans="18:30" x14ac:dyDescent="0.3"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</row>
    <row r="183" spans="18:30" x14ac:dyDescent="0.3"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</row>
    <row r="184" spans="18:30" x14ac:dyDescent="0.3"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</row>
    <row r="185" spans="18:30" x14ac:dyDescent="0.3">
      <c r="R185" s="89"/>
      <c r="S185" s="89"/>
      <c r="T185" s="89"/>
      <c r="U185" s="89"/>
      <c r="V185" s="89"/>
      <c r="W185" s="89"/>
      <c r="X185" s="89"/>
      <c r="Y185" s="89"/>
      <c r="Z185" s="89"/>
      <c r="AA185" s="89"/>
      <c r="AB185" s="89"/>
      <c r="AC185" s="89"/>
      <c r="AD185" s="89"/>
    </row>
    <row r="186" spans="18:30" x14ac:dyDescent="0.3">
      <c r="R186" s="89"/>
      <c r="S186" s="89"/>
      <c r="T186" s="89"/>
      <c r="U186" s="89"/>
      <c r="V186" s="89"/>
      <c r="W186" s="89"/>
      <c r="X186" s="89"/>
      <c r="Y186" s="89"/>
      <c r="Z186" s="89"/>
      <c r="AA186" s="89"/>
      <c r="AB186" s="89"/>
      <c r="AC186" s="89"/>
      <c r="AD186" s="89"/>
    </row>
    <row r="187" spans="18:30" x14ac:dyDescent="0.3">
      <c r="R187" s="89"/>
      <c r="S187" s="89"/>
      <c r="T187" s="89"/>
      <c r="U187" s="89"/>
      <c r="V187" s="89"/>
      <c r="W187" s="89"/>
      <c r="X187" s="89"/>
      <c r="Y187" s="89"/>
      <c r="Z187" s="89"/>
      <c r="AA187" s="89"/>
      <c r="AB187" s="89"/>
      <c r="AC187" s="89"/>
      <c r="AD187" s="89"/>
    </row>
    <row r="188" spans="18:30" x14ac:dyDescent="0.3">
      <c r="R188" s="89"/>
      <c r="S188" s="89"/>
      <c r="T188" s="89"/>
      <c r="U188" s="89"/>
      <c r="V188" s="89"/>
      <c r="W188" s="89"/>
      <c r="X188" s="89"/>
      <c r="Y188" s="89"/>
      <c r="Z188" s="89"/>
      <c r="AA188" s="89"/>
      <c r="AB188" s="89"/>
      <c r="AC188" s="89"/>
      <c r="AD188" s="89"/>
    </row>
    <row r="189" spans="18:30" x14ac:dyDescent="0.3">
      <c r="R189" s="89"/>
      <c r="S189" s="89"/>
      <c r="T189" s="89"/>
      <c r="U189" s="89"/>
      <c r="V189" s="89"/>
      <c r="W189" s="89"/>
      <c r="X189" s="89"/>
      <c r="Y189" s="89"/>
      <c r="Z189" s="89"/>
      <c r="AA189" s="89"/>
      <c r="AB189" s="89"/>
      <c r="AC189" s="89"/>
      <c r="AD189" s="89"/>
    </row>
    <row r="190" spans="18:30" x14ac:dyDescent="0.3">
      <c r="R190" s="89"/>
      <c r="S190" s="89"/>
      <c r="T190" s="89"/>
      <c r="U190" s="89"/>
      <c r="V190" s="89"/>
      <c r="W190" s="89"/>
      <c r="X190" s="89"/>
      <c r="Y190" s="89"/>
      <c r="Z190" s="89"/>
      <c r="AA190" s="89"/>
      <c r="AB190" s="89"/>
      <c r="AC190" s="89"/>
      <c r="AD190" s="89"/>
    </row>
    <row r="191" spans="18:30" x14ac:dyDescent="0.3">
      <c r="R191" s="89"/>
      <c r="S191" s="89"/>
      <c r="T191" s="89"/>
      <c r="U191" s="89"/>
      <c r="V191" s="89"/>
      <c r="W191" s="89"/>
      <c r="X191" s="89"/>
      <c r="Y191" s="89"/>
      <c r="Z191" s="89"/>
      <c r="AA191" s="89"/>
      <c r="AB191" s="89"/>
      <c r="AC191" s="89"/>
      <c r="AD191" s="89"/>
    </row>
    <row r="192" spans="18:30" x14ac:dyDescent="0.3">
      <c r="R192" s="89"/>
      <c r="S192" s="89"/>
      <c r="T192" s="89"/>
      <c r="U192" s="89"/>
      <c r="V192" s="89"/>
      <c r="W192" s="89"/>
      <c r="X192" s="89"/>
      <c r="Y192" s="89"/>
      <c r="Z192" s="89"/>
      <c r="AA192" s="89"/>
      <c r="AB192" s="89"/>
      <c r="AC192" s="89"/>
      <c r="AD192" s="89"/>
    </row>
    <row r="193" spans="18:30" x14ac:dyDescent="0.3">
      <c r="R193" s="89"/>
      <c r="S193" s="89"/>
      <c r="T193" s="89"/>
      <c r="U193" s="89"/>
      <c r="V193" s="89"/>
      <c r="W193" s="89"/>
      <c r="X193" s="89"/>
      <c r="Y193" s="89"/>
      <c r="Z193" s="89"/>
      <c r="AA193" s="89"/>
      <c r="AB193" s="89"/>
      <c r="AC193" s="89"/>
      <c r="AD193" s="89"/>
    </row>
    <row r="194" spans="18:30" x14ac:dyDescent="0.3">
      <c r="R194" s="89"/>
      <c r="S194" s="89"/>
      <c r="T194" s="89"/>
      <c r="U194" s="89"/>
      <c r="V194" s="89"/>
      <c r="W194" s="89"/>
      <c r="X194" s="89"/>
      <c r="Y194" s="89"/>
      <c r="Z194" s="89"/>
      <c r="AA194" s="89"/>
      <c r="AB194" s="89"/>
      <c r="AC194" s="89"/>
      <c r="AD194" s="89"/>
    </row>
    <row r="195" spans="18:30" x14ac:dyDescent="0.3">
      <c r="R195" s="89"/>
      <c r="S195" s="89"/>
      <c r="T195" s="89"/>
      <c r="U195" s="89"/>
      <c r="V195" s="89"/>
      <c r="W195" s="89"/>
      <c r="X195" s="89"/>
      <c r="Y195" s="89"/>
      <c r="Z195" s="89"/>
      <c r="AA195" s="89"/>
      <c r="AB195" s="89"/>
      <c r="AC195" s="89"/>
      <c r="AD195" s="89"/>
    </row>
    <row r="196" spans="18:30" x14ac:dyDescent="0.3"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</row>
    <row r="197" spans="18:30" x14ac:dyDescent="0.3">
      <c r="R197" s="89"/>
      <c r="S197" s="89"/>
      <c r="T197" s="89"/>
      <c r="U197" s="89"/>
      <c r="V197" s="89"/>
      <c r="W197" s="89"/>
      <c r="X197" s="89"/>
      <c r="Y197" s="89"/>
      <c r="Z197" s="89"/>
      <c r="AA197" s="89"/>
      <c r="AB197" s="89"/>
      <c r="AC197" s="89"/>
      <c r="AD197" s="89"/>
    </row>
    <row r="198" spans="18:30" x14ac:dyDescent="0.3">
      <c r="R198" s="89"/>
      <c r="S198" s="89"/>
      <c r="T198" s="89"/>
      <c r="U198" s="89"/>
      <c r="V198" s="89"/>
      <c r="W198" s="89"/>
      <c r="X198" s="89"/>
      <c r="Y198" s="89"/>
      <c r="Z198" s="89"/>
      <c r="AA198" s="89"/>
      <c r="AB198" s="89"/>
      <c r="AC198" s="89"/>
      <c r="AD198" s="89"/>
    </row>
    <row r="199" spans="18:30" x14ac:dyDescent="0.3">
      <c r="R199" s="89"/>
      <c r="S199" s="89"/>
      <c r="T199" s="89"/>
      <c r="U199" s="89"/>
      <c r="V199" s="89"/>
      <c r="W199" s="89"/>
      <c r="X199" s="89"/>
      <c r="Y199" s="89"/>
      <c r="Z199" s="89"/>
      <c r="AA199" s="89"/>
      <c r="AB199" s="89"/>
      <c r="AC199" s="89"/>
      <c r="AD199" s="89"/>
    </row>
    <row r="200" spans="18:30" x14ac:dyDescent="0.3">
      <c r="R200" s="89"/>
      <c r="S200" s="89"/>
      <c r="T200" s="89"/>
      <c r="U200" s="89"/>
      <c r="V200" s="89"/>
      <c r="W200" s="89"/>
      <c r="X200" s="89"/>
      <c r="Y200" s="89"/>
      <c r="Z200" s="89"/>
      <c r="AA200" s="89"/>
      <c r="AB200" s="89"/>
      <c r="AC200" s="89"/>
      <c r="AD200" s="89"/>
    </row>
    <row r="201" spans="18:30" x14ac:dyDescent="0.3"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</row>
    <row r="202" spans="18:30" x14ac:dyDescent="0.3">
      <c r="R202" s="89"/>
      <c r="S202" s="89"/>
      <c r="T202" s="89"/>
      <c r="U202" s="89"/>
      <c r="V202" s="89"/>
      <c r="W202" s="89"/>
      <c r="X202" s="89"/>
      <c r="Y202" s="89"/>
      <c r="Z202" s="89"/>
      <c r="AA202" s="89"/>
      <c r="AB202" s="89"/>
      <c r="AC202" s="89"/>
      <c r="AD202" s="89"/>
    </row>
    <row r="203" spans="18:30" x14ac:dyDescent="0.3">
      <c r="R203" s="89"/>
      <c r="S203" s="89"/>
      <c r="T203" s="89"/>
      <c r="U203" s="89"/>
      <c r="V203" s="89"/>
      <c r="W203" s="89"/>
      <c r="X203" s="89"/>
      <c r="Y203" s="89"/>
      <c r="Z203" s="89"/>
      <c r="AA203" s="89"/>
      <c r="AB203" s="89"/>
      <c r="AC203" s="89"/>
      <c r="AD203" s="89"/>
    </row>
    <row r="204" spans="18:30" x14ac:dyDescent="0.3"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</row>
    <row r="205" spans="18:30" x14ac:dyDescent="0.3"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</row>
    <row r="206" spans="18:30" x14ac:dyDescent="0.3">
      <c r="R206" s="89"/>
      <c r="S206" s="89"/>
      <c r="T206" s="89"/>
      <c r="U206" s="89"/>
      <c r="V206" s="89"/>
      <c r="W206" s="89"/>
      <c r="X206" s="89"/>
      <c r="Y206" s="89"/>
      <c r="Z206" s="89"/>
      <c r="AA206" s="89"/>
      <c r="AB206" s="89"/>
      <c r="AC206" s="89"/>
      <c r="AD206" s="89"/>
    </row>
    <row r="207" spans="18:30" x14ac:dyDescent="0.3"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</row>
    <row r="208" spans="18:30" x14ac:dyDescent="0.3">
      <c r="R208" s="89"/>
      <c r="S208" s="89"/>
      <c r="T208" s="89"/>
      <c r="U208" s="89"/>
      <c r="V208" s="89"/>
      <c r="W208" s="89"/>
      <c r="X208" s="89"/>
      <c r="Y208" s="89"/>
      <c r="Z208" s="89"/>
      <c r="AA208" s="89"/>
      <c r="AB208" s="89"/>
      <c r="AC208" s="89"/>
      <c r="AD208" s="89"/>
    </row>
    <row r="209" spans="18:30" x14ac:dyDescent="0.3">
      <c r="R209" s="89"/>
      <c r="S209" s="89"/>
      <c r="T209" s="89"/>
      <c r="U209" s="89"/>
      <c r="V209" s="89"/>
      <c r="W209" s="89"/>
      <c r="X209" s="89"/>
      <c r="Y209" s="89"/>
      <c r="Z209" s="89"/>
      <c r="AA209" s="89"/>
      <c r="AB209" s="89"/>
      <c r="AC209" s="89"/>
      <c r="AD209" s="89"/>
    </row>
    <row r="210" spans="18:30" x14ac:dyDescent="0.3"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</row>
    <row r="211" spans="18:30" x14ac:dyDescent="0.3">
      <c r="R211" s="89"/>
      <c r="S211" s="89"/>
      <c r="T211" s="89"/>
      <c r="U211" s="89"/>
      <c r="V211" s="89"/>
      <c r="W211" s="89"/>
      <c r="X211" s="89"/>
      <c r="Y211" s="89"/>
      <c r="Z211" s="89"/>
      <c r="AA211" s="89"/>
      <c r="AB211" s="89"/>
      <c r="AC211" s="89"/>
      <c r="AD211" s="89"/>
    </row>
    <row r="212" spans="18:30" x14ac:dyDescent="0.3">
      <c r="R212" s="89"/>
      <c r="S212" s="89"/>
      <c r="T212" s="89"/>
      <c r="U212" s="89"/>
      <c r="V212" s="89"/>
      <c r="W212" s="89"/>
      <c r="X212" s="89"/>
      <c r="Y212" s="89"/>
      <c r="Z212" s="89"/>
      <c r="AA212" s="89"/>
      <c r="AB212" s="89"/>
      <c r="AC212" s="89"/>
      <c r="AD212" s="89"/>
    </row>
    <row r="213" spans="18:30" x14ac:dyDescent="0.3">
      <c r="R213" s="89"/>
      <c r="S213" s="89"/>
      <c r="T213" s="89"/>
      <c r="U213" s="89"/>
      <c r="V213" s="89"/>
      <c r="W213" s="89"/>
      <c r="X213" s="89"/>
      <c r="Y213" s="89"/>
      <c r="Z213" s="89"/>
      <c r="AA213" s="89"/>
      <c r="AB213" s="89"/>
      <c r="AC213" s="89"/>
      <c r="AD213" s="89"/>
    </row>
    <row r="214" spans="18:30" x14ac:dyDescent="0.3">
      <c r="R214" s="89"/>
      <c r="S214" s="89"/>
      <c r="T214" s="89"/>
      <c r="U214" s="89"/>
      <c r="V214" s="89"/>
      <c r="W214" s="89"/>
      <c r="X214" s="89"/>
      <c r="Y214" s="89"/>
      <c r="Z214" s="89"/>
      <c r="AA214" s="89"/>
      <c r="AB214" s="89"/>
      <c r="AC214" s="89"/>
      <c r="AD214" s="89"/>
    </row>
    <row r="215" spans="18:30" x14ac:dyDescent="0.3"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</row>
    <row r="216" spans="18:30" x14ac:dyDescent="0.3">
      <c r="R216" s="89"/>
      <c r="S216" s="89"/>
      <c r="T216" s="89"/>
      <c r="U216" s="89"/>
      <c r="V216" s="89"/>
      <c r="W216" s="89"/>
      <c r="X216" s="89"/>
      <c r="Y216" s="89"/>
      <c r="Z216" s="89"/>
      <c r="AA216" s="89"/>
      <c r="AB216" s="89"/>
      <c r="AC216" s="89"/>
      <c r="AD216" s="89"/>
    </row>
    <row r="217" spans="18:30" x14ac:dyDescent="0.3">
      <c r="R217" s="89"/>
      <c r="S217" s="89"/>
      <c r="T217" s="89"/>
      <c r="U217" s="89"/>
      <c r="V217" s="89"/>
      <c r="W217" s="89"/>
      <c r="X217" s="89"/>
      <c r="Y217" s="89"/>
      <c r="Z217" s="89"/>
      <c r="AA217" s="89"/>
      <c r="AB217" s="89"/>
      <c r="AC217" s="89"/>
      <c r="AD217" s="89"/>
    </row>
    <row r="218" spans="18:30" x14ac:dyDescent="0.3"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</row>
    <row r="219" spans="18:30" x14ac:dyDescent="0.3">
      <c r="R219" s="89"/>
      <c r="S219" s="89"/>
      <c r="T219" s="89"/>
      <c r="U219" s="89"/>
      <c r="V219" s="89"/>
      <c r="W219" s="89"/>
      <c r="X219" s="89"/>
      <c r="Y219" s="89"/>
      <c r="Z219" s="89"/>
      <c r="AA219" s="89"/>
      <c r="AB219" s="89"/>
      <c r="AC219" s="89"/>
      <c r="AD219" s="89"/>
    </row>
    <row r="220" spans="18:30" x14ac:dyDescent="0.3">
      <c r="R220" s="89"/>
      <c r="S220" s="89"/>
      <c r="T220" s="89"/>
      <c r="U220" s="89"/>
      <c r="V220" s="89"/>
      <c r="W220" s="89"/>
      <c r="X220" s="89"/>
      <c r="Y220" s="89"/>
      <c r="Z220" s="89"/>
      <c r="AA220" s="89"/>
      <c r="AB220" s="89"/>
      <c r="AC220" s="89"/>
      <c r="AD220" s="89"/>
    </row>
    <row r="221" spans="18:30" x14ac:dyDescent="0.3"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</row>
    <row r="222" spans="18:30" x14ac:dyDescent="0.3"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</row>
    <row r="223" spans="18:30" x14ac:dyDescent="0.3">
      <c r="R223" s="89"/>
      <c r="S223" s="89"/>
      <c r="T223" s="89"/>
      <c r="U223" s="89"/>
      <c r="V223" s="89"/>
      <c r="W223" s="89"/>
      <c r="X223" s="89"/>
      <c r="Y223" s="89"/>
      <c r="Z223" s="89"/>
      <c r="AA223" s="89"/>
      <c r="AB223" s="89"/>
      <c r="AC223" s="89"/>
      <c r="AD223" s="89"/>
    </row>
    <row r="224" spans="18:30" x14ac:dyDescent="0.3"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</row>
    <row r="225" spans="18:30" x14ac:dyDescent="0.3">
      <c r="R225" s="89"/>
      <c r="S225" s="89"/>
      <c r="T225" s="89"/>
      <c r="U225" s="89"/>
      <c r="V225" s="89"/>
      <c r="W225" s="89"/>
      <c r="X225" s="89"/>
      <c r="Y225" s="89"/>
      <c r="Z225" s="89"/>
      <c r="AA225" s="89"/>
      <c r="AB225" s="89"/>
      <c r="AC225" s="89"/>
      <c r="AD225" s="89"/>
    </row>
    <row r="226" spans="18:30" x14ac:dyDescent="0.3">
      <c r="R226" s="89"/>
      <c r="S226" s="89"/>
      <c r="T226" s="89"/>
      <c r="U226" s="89"/>
      <c r="V226" s="89"/>
      <c r="W226" s="89"/>
      <c r="X226" s="89"/>
      <c r="Y226" s="89"/>
      <c r="Z226" s="89"/>
      <c r="AA226" s="89"/>
      <c r="AB226" s="89"/>
      <c r="AC226" s="89"/>
      <c r="AD226" s="89"/>
    </row>
    <row r="227" spans="18:30" x14ac:dyDescent="0.3">
      <c r="R227" s="89"/>
      <c r="S227" s="89"/>
      <c r="T227" s="89"/>
      <c r="U227" s="89"/>
      <c r="V227" s="89"/>
      <c r="W227" s="89"/>
      <c r="X227" s="89"/>
      <c r="Y227" s="89"/>
      <c r="Z227" s="89"/>
      <c r="AA227" s="89"/>
      <c r="AB227" s="89"/>
      <c r="AC227" s="89"/>
      <c r="AD227" s="89"/>
    </row>
    <row r="228" spans="18:30" x14ac:dyDescent="0.3">
      <c r="R228" s="89"/>
      <c r="S228" s="89"/>
      <c r="T228" s="89"/>
      <c r="U228" s="89"/>
      <c r="V228" s="89"/>
      <c r="W228" s="89"/>
      <c r="X228" s="89"/>
      <c r="Y228" s="89"/>
      <c r="Z228" s="89"/>
      <c r="AA228" s="89"/>
      <c r="AB228" s="89"/>
      <c r="AC228" s="89"/>
      <c r="AD228" s="89"/>
    </row>
    <row r="229" spans="18:30" x14ac:dyDescent="0.3"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</row>
    <row r="230" spans="18:30" x14ac:dyDescent="0.3">
      <c r="R230" s="89"/>
      <c r="S230" s="89"/>
      <c r="T230" s="89"/>
      <c r="U230" s="89"/>
      <c r="V230" s="89"/>
      <c r="W230" s="89"/>
      <c r="X230" s="89"/>
      <c r="Y230" s="89"/>
      <c r="Z230" s="89"/>
      <c r="AA230" s="89"/>
      <c r="AB230" s="89"/>
      <c r="AC230" s="89"/>
      <c r="AD230" s="89"/>
    </row>
    <row r="231" spans="18:30" x14ac:dyDescent="0.3">
      <c r="R231" s="89"/>
      <c r="S231" s="89"/>
      <c r="T231" s="89"/>
      <c r="U231" s="89"/>
      <c r="V231" s="89"/>
      <c r="W231" s="89"/>
      <c r="X231" s="89"/>
      <c r="Y231" s="89"/>
      <c r="Z231" s="89"/>
      <c r="AA231" s="89"/>
      <c r="AB231" s="89"/>
      <c r="AC231" s="89"/>
      <c r="AD231" s="89"/>
    </row>
    <row r="232" spans="18:30" x14ac:dyDescent="0.3"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</row>
    <row r="233" spans="18:30" x14ac:dyDescent="0.3">
      <c r="R233" s="89"/>
      <c r="S233" s="89"/>
      <c r="T233" s="89"/>
      <c r="U233" s="89"/>
      <c r="V233" s="89"/>
      <c r="W233" s="89"/>
      <c r="X233" s="89"/>
      <c r="Y233" s="89"/>
      <c r="Z233" s="89"/>
      <c r="AA233" s="89"/>
      <c r="AB233" s="89"/>
      <c r="AC233" s="89"/>
      <c r="AD233" s="89"/>
    </row>
    <row r="234" spans="18:30" x14ac:dyDescent="0.3">
      <c r="R234" s="89"/>
      <c r="S234" s="89"/>
      <c r="T234" s="89"/>
      <c r="U234" s="89"/>
      <c r="V234" s="89"/>
      <c r="W234" s="89"/>
      <c r="X234" s="89"/>
      <c r="Y234" s="89"/>
      <c r="Z234" s="89"/>
      <c r="AA234" s="89"/>
      <c r="AB234" s="89"/>
      <c r="AC234" s="89"/>
      <c r="AD234" s="89"/>
    </row>
    <row r="235" spans="18:30" x14ac:dyDescent="0.3"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</row>
    <row r="236" spans="18:30" x14ac:dyDescent="0.3">
      <c r="R236" s="89"/>
      <c r="S236" s="89"/>
      <c r="T236" s="89"/>
      <c r="U236" s="89"/>
      <c r="V236" s="89"/>
      <c r="W236" s="89"/>
      <c r="X236" s="89"/>
      <c r="Y236" s="89"/>
      <c r="Z236" s="89"/>
      <c r="AA236" s="89"/>
      <c r="AB236" s="89"/>
      <c r="AC236" s="89"/>
      <c r="AD236" s="89"/>
    </row>
    <row r="237" spans="18:30" x14ac:dyDescent="0.3">
      <c r="R237" s="89"/>
      <c r="S237" s="89"/>
      <c r="T237" s="89"/>
      <c r="U237" s="89"/>
      <c r="V237" s="89"/>
      <c r="W237" s="89"/>
      <c r="X237" s="89"/>
      <c r="Y237" s="89"/>
      <c r="Z237" s="89"/>
      <c r="AA237" s="89"/>
      <c r="AB237" s="89"/>
      <c r="AC237" s="89"/>
      <c r="AD237" s="89"/>
    </row>
    <row r="238" spans="18:30" x14ac:dyDescent="0.3"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</row>
    <row r="239" spans="18:30" x14ac:dyDescent="0.3"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</row>
    <row r="240" spans="18:30" x14ac:dyDescent="0.3">
      <c r="R240" s="89"/>
      <c r="S240" s="89"/>
      <c r="T240" s="89"/>
      <c r="U240" s="89"/>
      <c r="V240" s="89"/>
      <c r="W240" s="89"/>
      <c r="X240" s="89"/>
      <c r="Y240" s="89"/>
      <c r="Z240" s="89"/>
      <c r="AA240" s="89"/>
      <c r="AB240" s="89"/>
      <c r="AC240" s="89"/>
      <c r="AD240" s="89"/>
    </row>
    <row r="241" spans="18:30" x14ac:dyDescent="0.3">
      <c r="R241" s="89"/>
      <c r="S241" s="89"/>
      <c r="T241" s="89"/>
      <c r="U241" s="89"/>
      <c r="V241" s="89"/>
      <c r="W241" s="89"/>
      <c r="X241" s="89"/>
      <c r="Y241" s="89"/>
      <c r="Z241" s="89"/>
      <c r="AA241" s="89"/>
      <c r="AB241" s="89"/>
      <c r="AC241" s="89"/>
      <c r="AD241" s="89"/>
    </row>
    <row r="242" spans="18:30" x14ac:dyDescent="0.3">
      <c r="R242" s="89"/>
      <c r="S242" s="89"/>
      <c r="T242" s="89"/>
      <c r="U242" s="89"/>
      <c r="V242" s="89"/>
      <c r="W242" s="89"/>
      <c r="X242" s="89"/>
      <c r="Y242" s="89"/>
      <c r="Z242" s="89"/>
      <c r="AA242" s="89"/>
      <c r="AB242" s="89"/>
      <c r="AC242" s="89"/>
      <c r="AD242" s="89"/>
    </row>
    <row r="243" spans="18:30" x14ac:dyDescent="0.3"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</row>
    <row r="244" spans="18:30" x14ac:dyDescent="0.3">
      <c r="R244" s="89"/>
      <c r="S244" s="89"/>
      <c r="T244" s="89"/>
      <c r="U244" s="89"/>
      <c r="V244" s="89"/>
      <c r="W244" s="89"/>
      <c r="X244" s="89"/>
      <c r="Y244" s="89"/>
      <c r="Z244" s="89"/>
      <c r="AA244" s="89"/>
      <c r="AB244" s="89"/>
      <c r="AC244" s="89"/>
      <c r="AD244" s="89"/>
    </row>
    <row r="245" spans="18:30" x14ac:dyDescent="0.3">
      <c r="R245" s="89"/>
      <c r="S245" s="89"/>
      <c r="T245" s="89"/>
      <c r="U245" s="89"/>
      <c r="V245" s="89"/>
      <c r="W245" s="89"/>
      <c r="X245" s="89"/>
      <c r="Y245" s="89"/>
      <c r="Z245" s="89"/>
      <c r="AA245" s="89"/>
      <c r="AB245" s="89"/>
      <c r="AC245" s="89"/>
      <c r="AD245" s="89"/>
    </row>
    <row r="246" spans="18:30" x14ac:dyDescent="0.3">
      <c r="R246" s="89"/>
      <c r="S246" s="89"/>
      <c r="T246" s="89"/>
      <c r="U246" s="89"/>
      <c r="V246" s="89"/>
      <c r="W246" s="89"/>
      <c r="X246" s="89"/>
      <c r="Y246" s="89"/>
      <c r="Z246" s="89"/>
      <c r="AA246" s="89"/>
      <c r="AB246" s="89"/>
      <c r="AC246" s="89"/>
      <c r="AD246" s="89"/>
    </row>
    <row r="247" spans="18:30" x14ac:dyDescent="0.3">
      <c r="R247" s="89"/>
      <c r="S247" s="89"/>
      <c r="T247" s="89"/>
      <c r="U247" s="89"/>
      <c r="V247" s="89"/>
      <c r="W247" s="89"/>
      <c r="X247" s="89"/>
      <c r="Y247" s="89"/>
      <c r="Z247" s="89"/>
      <c r="AA247" s="89"/>
      <c r="AB247" s="89"/>
      <c r="AC247" s="89"/>
      <c r="AD247" s="89"/>
    </row>
    <row r="248" spans="18:30" x14ac:dyDescent="0.3">
      <c r="R248" s="89"/>
      <c r="S248" s="89"/>
      <c r="T248" s="89"/>
      <c r="U248" s="89"/>
      <c r="V248" s="89"/>
      <c r="W248" s="89"/>
      <c r="X248" s="89"/>
      <c r="Y248" s="89"/>
      <c r="Z248" s="89"/>
      <c r="AA248" s="89"/>
      <c r="AB248" s="89"/>
      <c r="AC248" s="89"/>
      <c r="AD248" s="89"/>
    </row>
    <row r="249" spans="18:30" x14ac:dyDescent="0.3"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</row>
    <row r="250" spans="18:30" x14ac:dyDescent="0.3">
      <c r="R250" s="89"/>
      <c r="S250" s="89"/>
      <c r="T250" s="89"/>
      <c r="U250" s="89"/>
      <c r="V250" s="89"/>
      <c r="W250" s="89"/>
      <c r="X250" s="89"/>
      <c r="Y250" s="89"/>
      <c r="Z250" s="89"/>
      <c r="AA250" s="89"/>
      <c r="AB250" s="89"/>
      <c r="AC250" s="89"/>
      <c r="AD250" s="89"/>
    </row>
    <row r="251" spans="18:30" x14ac:dyDescent="0.3">
      <c r="R251" s="89"/>
      <c r="S251" s="89"/>
      <c r="T251" s="89"/>
      <c r="U251" s="89"/>
      <c r="V251" s="89"/>
      <c r="W251" s="89"/>
      <c r="X251" s="89"/>
      <c r="Y251" s="89"/>
      <c r="Z251" s="89"/>
      <c r="AA251" s="89"/>
      <c r="AB251" s="89"/>
      <c r="AC251" s="89"/>
      <c r="AD251" s="89"/>
    </row>
    <row r="252" spans="18:30" x14ac:dyDescent="0.3"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</row>
    <row r="253" spans="18:30" x14ac:dyDescent="0.3">
      <c r="R253" s="89"/>
      <c r="S253" s="89"/>
      <c r="T253" s="89"/>
      <c r="U253" s="89"/>
      <c r="V253" s="89"/>
      <c r="W253" s="89"/>
      <c r="X253" s="89"/>
      <c r="Y253" s="89"/>
      <c r="Z253" s="89"/>
      <c r="AA253" s="89"/>
      <c r="AB253" s="89"/>
      <c r="AC253" s="89"/>
      <c r="AD253" s="89"/>
    </row>
    <row r="254" spans="18:30" x14ac:dyDescent="0.3">
      <c r="R254" s="89"/>
      <c r="S254" s="89"/>
      <c r="T254" s="89"/>
      <c r="U254" s="89"/>
      <c r="V254" s="89"/>
      <c r="W254" s="89"/>
      <c r="X254" s="89"/>
      <c r="Y254" s="89"/>
      <c r="Z254" s="89"/>
      <c r="AA254" s="89"/>
      <c r="AB254" s="89"/>
      <c r="AC254" s="89"/>
      <c r="AD254" s="89"/>
    </row>
    <row r="255" spans="18:30" x14ac:dyDescent="0.3">
      <c r="R255" s="89"/>
      <c r="S255" s="89"/>
      <c r="T255" s="89"/>
      <c r="U255" s="89"/>
      <c r="V255" s="89"/>
      <c r="W255" s="89"/>
      <c r="X255" s="89"/>
      <c r="Y255" s="89"/>
      <c r="Z255" s="89"/>
      <c r="AA255" s="89"/>
      <c r="AB255" s="89"/>
      <c r="AC255" s="89"/>
      <c r="AD255" s="89"/>
    </row>
    <row r="256" spans="18:30" x14ac:dyDescent="0.3"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</row>
    <row r="257" spans="18:30" x14ac:dyDescent="0.3">
      <c r="R257" s="89"/>
      <c r="S257" s="89"/>
      <c r="T257" s="89"/>
      <c r="U257" s="89"/>
      <c r="V257" s="89"/>
      <c r="W257" s="89"/>
      <c r="X257" s="89"/>
      <c r="Y257" s="89"/>
      <c r="Z257" s="89"/>
      <c r="AA257" s="89"/>
      <c r="AB257" s="89"/>
      <c r="AC257" s="89"/>
      <c r="AD257" s="89"/>
    </row>
    <row r="258" spans="18:30" x14ac:dyDescent="0.3">
      <c r="R258" s="89"/>
      <c r="S258" s="89"/>
      <c r="T258" s="89"/>
      <c r="U258" s="89"/>
      <c r="V258" s="89"/>
      <c r="W258" s="89"/>
      <c r="X258" s="89"/>
      <c r="Y258" s="89"/>
      <c r="Z258" s="89"/>
      <c r="AA258" s="89"/>
      <c r="AB258" s="89"/>
      <c r="AC258" s="89"/>
      <c r="AD258" s="89"/>
    </row>
    <row r="259" spans="18:30" x14ac:dyDescent="0.3">
      <c r="R259" s="89"/>
      <c r="S259" s="89"/>
      <c r="T259" s="89"/>
      <c r="U259" s="89"/>
      <c r="V259" s="89"/>
      <c r="W259" s="89"/>
      <c r="X259" s="89"/>
      <c r="Y259" s="89"/>
      <c r="Z259" s="89"/>
      <c r="AA259" s="89"/>
      <c r="AB259" s="89"/>
      <c r="AC259" s="89"/>
      <c r="AD259" s="89"/>
    </row>
    <row r="260" spans="18:30" x14ac:dyDescent="0.3"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</row>
    <row r="261" spans="18:30" x14ac:dyDescent="0.3">
      <c r="R261" s="89"/>
      <c r="S261" s="89"/>
      <c r="T261" s="89"/>
      <c r="U261" s="89"/>
      <c r="V261" s="89"/>
      <c r="W261" s="89"/>
      <c r="X261" s="89"/>
      <c r="Y261" s="89"/>
      <c r="Z261" s="89"/>
      <c r="AA261" s="89"/>
      <c r="AB261" s="89"/>
      <c r="AC261" s="89"/>
      <c r="AD261" s="89"/>
    </row>
    <row r="262" spans="18:30" x14ac:dyDescent="0.3">
      <c r="R262" s="89"/>
      <c r="S262" s="89"/>
      <c r="T262" s="89"/>
      <c r="U262" s="89"/>
      <c r="V262" s="89"/>
      <c r="W262" s="89"/>
      <c r="X262" s="89"/>
      <c r="Y262" s="89"/>
      <c r="Z262" s="89"/>
      <c r="AA262" s="89"/>
      <c r="AB262" s="89"/>
      <c r="AC262" s="89"/>
      <c r="AD262" s="89"/>
    </row>
    <row r="263" spans="18:30" x14ac:dyDescent="0.3">
      <c r="R263" s="89"/>
      <c r="S263" s="89"/>
      <c r="T263" s="89"/>
      <c r="U263" s="89"/>
      <c r="V263" s="89"/>
      <c r="W263" s="89"/>
      <c r="X263" s="89"/>
      <c r="Y263" s="89"/>
      <c r="Z263" s="89"/>
      <c r="AA263" s="89"/>
      <c r="AB263" s="89"/>
      <c r="AC263" s="89"/>
      <c r="AD263" s="89"/>
    </row>
    <row r="264" spans="18:30" x14ac:dyDescent="0.3">
      <c r="R264" s="89"/>
      <c r="S264" s="89"/>
      <c r="T264" s="89"/>
      <c r="U264" s="89"/>
      <c r="V264" s="89"/>
      <c r="W264" s="89"/>
      <c r="X264" s="89"/>
      <c r="Y264" s="89"/>
      <c r="Z264" s="89"/>
      <c r="AA264" s="89"/>
      <c r="AB264" s="89"/>
      <c r="AC264" s="89"/>
      <c r="AD264" s="89"/>
    </row>
    <row r="265" spans="18:30" x14ac:dyDescent="0.3">
      <c r="R265" s="89"/>
      <c r="S265" s="89"/>
      <c r="T265" s="89"/>
      <c r="U265" s="89"/>
      <c r="V265" s="89"/>
      <c r="W265" s="89"/>
      <c r="X265" s="89"/>
      <c r="Y265" s="89"/>
      <c r="Z265" s="89"/>
      <c r="AA265" s="89"/>
      <c r="AB265" s="89"/>
      <c r="AC265" s="89"/>
      <c r="AD265" s="89"/>
    </row>
    <row r="266" spans="18:30" x14ac:dyDescent="0.3"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</row>
    <row r="267" spans="18:30" x14ac:dyDescent="0.3">
      <c r="R267" s="89"/>
      <c r="S267" s="89"/>
      <c r="T267" s="89"/>
      <c r="U267" s="89"/>
      <c r="V267" s="89"/>
      <c r="W267" s="89"/>
      <c r="X267" s="89"/>
      <c r="Y267" s="89"/>
      <c r="Z267" s="89"/>
      <c r="AA267" s="89"/>
      <c r="AB267" s="89"/>
      <c r="AC267" s="89"/>
      <c r="AD267" s="89"/>
    </row>
    <row r="268" spans="18:30" x14ac:dyDescent="0.3">
      <c r="R268" s="89"/>
      <c r="S268" s="89"/>
      <c r="T268" s="89"/>
      <c r="U268" s="89"/>
      <c r="V268" s="89"/>
      <c r="W268" s="89"/>
      <c r="X268" s="89"/>
      <c r="Y268" s="89"/>
      <c r="Z268" s="89"/>
      <c r="AA268" s="89"/>
      <c r="AB268" s="89"/>
      <c r="AC268" s="89"/>
      <c r="AD268" s="89"/>
    </row>
    <row r="269" spans="18:30" x14ac:dyDescent="0.3">
      <c r="R269" s="89"/>
      <c r="S269" s="89"/>
      <c r="T269" s="89"/>
      <c r="U269" s="89"/>
      <c r="V269" s="89"/>
      <c r="W269" s="89"/>
      <c r="X269" s="89"/>
      <c r="Y269" s="89"/>
      <c r="Z269" s="89"/>
      <c r="AA269" s="89"/>
      <c r="AB269" s="89"/>
      <c r="AC269" s="89"/>
      <c r="AD269" s="89"/>
    </row>
    <row r="270" spans="18:30" x14ac:dyDescent="0.3">
      <c r="R270" s="89"/>
      <c r="S270" s="89"/>
      <c r="T270" s="89"/>
      <c r="U270" s="89"/>
      <c r="V270" s="89"/>
      <c r="W270" s="89"/>
      <c r="X270" s="89"/>
      <c r="Y270" s="89"/>
      <c r="Z270" s="89"/>
      <c r="AA270" s="89"/>
      <c r="AB270" s="89"/>
      <c r="AC270" s="89"/>
      <c r="AD270" s="89"/>
    </row>
    <row r="271" spans="18:30" x14ac:dyDescent="0.3">
      <c r="R271" s="89"/>
      <c r="S271" s="89"/>
      <c r="T271" s="89"/>
      <c r="U271" s="89"/>
      <c r="V271" s="89"/>
      <c r="W271" s="89"/>
      <c r="X271" s="89"/>
      <c r="Y271" s="89"/>
      <c r="Z271" s="89"/>
      <c r="AA271" s="89"/>
      <c r="AB271" s="89"/>
      <c r="AC271" s="89"/>
      <c r="AD271" s="89"/>
    </row>
    <row r="272" spans="18:30" x14ac:dyDescent="0.3">
      <c r="R272" s="89"/>
      <c r="S272" s="89"/>
      <c r="T272" s="89"/>
      <c r="U272" s="89"/>
      <c r="V272" s="89"/>
      <c r="W272" s="89"/>
      <c r="X272" s="89"/>
      <c r="Y272" s="89"/>
      <c r="Z272" s="89"/>
      <c r="AA272" s="89"/>
      <c r="AB272" s="89"/>
      <c r="AC272" s="89"/>
      <c r="AD272" s="89"/>
    </row>
    <row r="273" spans="18:30" x14ac:dyDescent="0.3"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</row>
    <row r="274" spans="18:30" x14ac:dyDescent="0.3"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</row>
    <row r="275" spans="18:30" x14ac:dyDescent="0.3">
      <c r="R275" s="89"/>
      <c r="S275" s="89"/>
      <c r="T275" s="89"/>
      <c r="U275" s="89"/>
      <c r="V275" s="89"/>
      <c r="W275" s="89"/>
      <c r="X275" s="89"/>
      <c r="Y275" s="89"/>
      <c r="Z275" s="89"/>
      <c r="AA275" s="89"/>
      <c r="AB275" s="89"/>
      <c r="AC275" s="89"/>
      <c r="AD275" s="89"/>
    </row>
    <row r="276" spans="18:30" x14ac:dyDescent="0.3">
      <c r="R276" s="89"/>
      <c r="S276" s="89"/>
      <c r="T276" s="89"/>
      <c r="U276" s="89"/>
      <c r="V276" s="89"/>
      <c r="W276" s="89"/>
      <c r="X276" s="89"/>
      <c r="Y276" s="89"/>
      <c r="Z276" s="89"/>
      <c r="AA276" s="89"/>
      <c r="AB276" s="89"/>
      <c r="AC276" s="89"/>
      <c r="AD276" s="89"/>
    </row>
    <row r="277" spans="18:30" x14ac:dyDescent="0.3"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</row>
    <row r="278" spans="18:30" x14ac:dyDescent="0.3">
      <c r="R278" s="89"/>
      <c r="S278" s="89"/>
      <c r="T278" s="89"/>
      <c r="U278" s="89"/>
      <c r="V278" s="89"/>
      <c r="W278" s="89"/>
      <c r="X278" s="89"/>
      <c r="Y278" s="89"/>
      <c r="Z278" s="89"/>
      <c r="AA278" s="89"/>
      <c r="AB278" s="89"/>
      <c r="AC278" s="89"/>
      <c r="AD278" s="89"/>
    </row>
    <row r="279" spans="18:30" x14ac:dyDescent="0.3">
      <c r="R279" s="89"/>
      <c r="S279" s="89"/>
      <c r="T279" s="89"/>
      <c r="U279" s="89"/>
      <c r="V279" s="89"/>
      <c r="W279" s="89"/>
      <c r="X279" s="89"/>
      <c r="Y279" s="89"/>
      <c r="Z279" s="89"/>
      <c r="AA279" s="89"/>
      <c r="AB279" s="89"/>
      <c r="AC279" s="89"/>
      <c r="AD279" s="89"/>
    </row>
    <row r="280" spans="18:30" x14ac:dyDescent="0.3"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</row>
    <row r="281" spans="18:30" x14ac:dyDescent="0.3">
      <c r="R281" s="89"/>
      <c r="S281" s="89"/>
      <c r="T281" s="89"/>
      <c r="U281" s="89"/>
      <c r="V281" s="89"/>
      <c r="W281" s="89"/>
      <c r="X281" s="89"/>
      <c r="Y281" s="89"/>
      <c r="Z281" s="89"/>
      <c r="AA281" s="89"/>
      <c r="AB281" s="89"/>
      <c r="AC281" s="89"/>
      <c r="AD281" s="89"/>
    </row>
    <row r="282" spans="18:30" x14ac:dyDescent="0.3">
      <c r="R282" s="89"/>
      <c r="S282" s="89"/>
      <c r="T282" s="89"/>
      <c r="U282" s="89"/>
      <c r="V282" s="89"/>
      <c r="W282" s="89"/>
      <c r="X282" s="89"/>
      <c r="Y282" s="89"/>
      <c r="Z282" s="89"/>
      <c r="AA282" s="89"/>
      <c r="AB282" s="89"/>
      <c r="AC282" s="89"/>
      <c r="AD282" s="89"/>
    </row>
    <row r="283" spans="18:30" x14ac:dyDescent="0.3">
      <c r="R283" s="89"/>
      <c r="S283" s="89"/>
      <c r="T283" s="89"/>
      <c r="U283" s="89"/>
      <c r="V283" s="89"/>
      <c r="W283" s="89"/>
      <c r="X283" s="89"/>
      <c r="Y283" s="89"/>
      <c r="Z283" s="89"/>
      <c r="AA283" s="89"/>
      <c r="AB283" s="89"/>
      <c r="AC283" s="89"/>
      <c r="AD283" s="89"/>
    </row>
    <row r="284" spans="18:30" x14ac:dyDescent="0.3">
      <c r="R284" s="89"/>
      <c r="S284" s="89"/>
      <c r="T284" s="89"/>
      <c r="U284" s="89"/>
      <c r="V284" s="89"/>
      <c r="W284" s="89"/>
      <c r="X284" s="89"/>
      <c r="Y284" s="89"/>
      <c r="Z284" s="89"/>
      <c r="AA284" s="89"/>
      <c r="AB284" s="89"/>
      <c r="AC284" s="89"/>
      <c r="AD284" s="89"/>
    </row>
    <row r="285" spans="18:30" x14ac:dyDescent="0.3"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</row>
    <row r="286" spans="18:30" x14ac:dyDescent="0.3">
      <c r="R286" s="89"/>
      <c r="S286" s="89"/>
      <c r="T286" s="89"/>
      <c r="U286" s="89"/>
      <c r="V286" s="89"/>
      <c r="W286" s="89"/>
      <c r="X286" s="89"/>
      <c r="Y286" s="89"/>
      <c r="Z286" s="89"/>
      <c r="AA286" s="89"/>
      <c r="AB286" s="89"/>
      <c r="AC286" s="89"/>
      <c r="AD286" s="89"/>
    </row>
    <row r="287" spans="18:30" x14ac:dyDescent="0.3">
      <c r="R287" s="89"/>
      <c r="S287" s="89"/>
      <c r="T287" s="89"/>
      <c r="U287" s="89"/>
      <c r="V287" s="89"/>
      <c r="W287" s="89"/>
      <c r="X287" s="89"/>
      <c r="Y287" s="89"/>
      <c r="Z287" s="89"/>
      <c r="AA287" s="89"/>
      <c r="AB287" s="89"/>
      <c r="AC287" s="89"/>
      <c r="AD287" s="89"/>
    </row>
    <row r="288" spans="18:30" x14ac:dyDescent="0.3">
      <c r="R288" s="89"/>
      <c r="S288" s="89"/>
      <c r="T288" s="89"/>
      <c r="U288" s="89"/>
      <c r="V288" s="89"/>
      <c r="W288" s="89"/>
      <c r="X288" s="89"/>
      <c r="Y288" s="89"/>
      <c r="Z288" s="89"/>
      <c r="AA288" s="89"/>
      <c r="AB288" s="89"/>
      <c r="AC288" s="89"/>
      <c r="AD288" s="89"/>
    </row>
    <row r="289" spans="18:30" x14ac:dyDescent="0.3">
      <c r="R289" s="89"/>
      <c r="S289" s="89"/>
      <c r="T289" s="89"/>
      <c r="U289" s="89"/>
      <c r="V289" s="89"/>
      <c r="W289" s="89"/>
      <c r="X289" s="89"/>
      <c r="Y289" s="89"/>
      <c r="Z289" s="89"/>
      <c r="AA289" s="89"/>
      <c r="AB289" s="89"/>
      <c r="AC289" s="89"/>
      <c r="AD289" s="89"/>
    </row>
    <row r="290" spans="18:30" x14ac:dyDescent="0.3"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</row>
    <row r="291" spans="18:30" x14ac:dyDescent="0.3"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</row>
    <row r="292" spans="18:30" x14ac:dyDescent="0.3">
      <c r="R292" s="89"/>
      <c r="S292" s="89"/>
      <c r="T292" s="89"/>
      <c r="U292" s="89"/>
      <c r="V292" s="89"/>
      <c r="W292" s="89"/>
      <c r="X292" s="89"/>
      <c r="Y292" s="89"/>
      <c r="Z292" s="89"/>
      <c r="AA292" s="89"/>
      <c r="AB292" s="89"/>
      <c r="AC292" s="89"/>
      <c r="AD292" s="89"/>
    </row>
    <row r="293" spans="18:30" x14ac:dyDescent="0.3">
      <c r="R293" s="89"/>
      <c r="S293" s="89"/>
      <c r="T293" s="89"/>
      <c r="U293" s="89"/>
      <c r="V293" s="89"/>
      <c r="W293" s="89"/>
      <c r="X293" s="89"/>
      <c r="Y293" s="89"/>
      <c r="Z293" s="89"/>
      <c r="AA293" s="89"/>
      <c r="AB293" s="89"/>
      <c r="AC293" s="89"/>
      <c r="AD293" s="89"/>
    </row>
    <row r="294" spans="18:30" x14ac:dyDescent="0.3"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</row>
    <row r="295" spans="18:30" x14ac:dyDescent="0.3">
      <c r="R295" s="89"/>
      <c r="S295" s="89"/>
      <c r="T295" s="89"/>
      <c r="U295" s="89"/>
      <c r="V295" s="89"/>
      <c r="W295" s="89"/>
      <c r="X295" s="89"/>
      <c r="Y295" s="89"/>
      <c r="Z295" s="89"/>
      <c r="AA295" s="89"/>
      <c r="AB295" s="89"/>
      <c r="AC295" s="89"/>
      <c r="AD295" s="89"/>
    </row>
    <row r="296" spans="18:30" x14ac:dyDescent="0.3">
      <c r="R296" s="89"/>
      <c r="S296" s="89"/>
      <c r="T296" s="89"/>
      <c r="U296" s="89"/>
      <c r="V296" s="89"/>
      <c r="W296" s="89"/>
      <c r="X296" s="89"/>
      <c r="Y296" s="89"/>
      <c r="Z296" s="89"/>
      <c r="AA296" s="89"/>
      <c r="AB296" s="89"/>
      <c r="AC296" s="89"/>
      <c r="AD296" s="89"/>
    </row>
    <row r="297" spans="18:30" x14ac:dyDescent="0.3">
      <c r="R297" s="89"/>
      <c r="S297" s="89"/>
      <c r="T297" s="89"/>
      <c r="U297" s="89"/>
      <c r="V297" s="89"/>
      <c r="W297" s="89"/>
      <c r="X297" s="89"/>
      <c r="Y297" s="89"/>
      <c r="Z297" s="89"/>
      <c r="AA297" s="89"/>
      <c r="AB297" s="89"/>
      <c r="AC297" s="89"/>
      <c r="AD297" s="89"/>
    </row>
    <row r="298" spans="18:30" x14ac:dyDescent="0.3">
      <c r="R298" s="89"/>
      <c r="S298" s="89"/>
      <c r="T298" s="89"/>
      <c r="U298" s="89"/>
      <c r="V298" s="89"/>
      <c r="W298" s="89"/>
      <c r="X298" s="89"/>
      <c r="Y298" s="89"/>
      <c r="Z298" s="89"/>
      <c r="AA298" s="89"/>
      <c r="AB298" s="89"/>
      <c r="AC298" s="89"/>
      <c r="AD298" s="89"/>
    </row>
    <row r="299" spans="18:30" x14ac:dyDescent="0.3"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</row>
    <row r="300" spans="18:30" x14ac:dyDescent="0.3">
      <c r="R300" s="89"/>
      <c r="S300" s="89"/>
      <c r="T300" s="89"/>
      <c r="U300" s="89"/>
      <c r="V300" s="89"/>
      <c r="W300" s="89"/>
      <c r="X300" s="89"/>
      <c r="Y300" s="89"/>
      <c r="Z300" s="89"/>
      <c r="AA300" s="89"/>
      <c r="AB300" s="89"/>
      <c r="AC300" s="89"/>
      <c r="AD300" s="89"/>
    </row>
    <row r="301" spans="18:30" x14ac:dyDescent="0.3">
      <c r="R301" s="89"/>
      <c r="S301" s="89"/>
      <c r="T301" s="89"/>
      <c r="U301" s="89"/>
      <c r="V301" s="89"/>
      <c r="W301" s="89"/>
      <c r="X301" s="89"/>
      <c r="Y301" s="89"/>
      <c r="Z301" s="89"/>
      <c r="AA301" s="89"/>
      <c r="AB301" s="89"/>
      <c r="AC301" s="89"/>
      <c r="AD301" s="89"/>
    </row>
    <row r="302" spans="18:30" x14ac:dyDescent="0.3">
      <c r="R302" s="89"/>
      <c r="S302" s="89"/>
      <c r="T302" s="89"/>
      <c r="U302" s="89"/>
      <c r="V302" s="89"/>
      <c r="W302" s="89"/>
      <c r="X302" s="89"/>
      <c r="Y302" s="89"/>
      <c r="Z302" s="89"/>
      <c r="AA302" s="89"/>
      <c r="AB302" s="89"/>
      <c r="AC302" s="89"/>
      <c r="AD302" s="89"/>
    </row>
    <row r="303" spans="18:30" x14ac:dyDescent="0.3">
      <c r="R303" s="89"/>
      <c r="S303" s="89"/>
      <c r="T303" s="89"/>
      <c r="U303" s="89"/>
      <c r="V303" s="89"/>
      <c r="W303" s="89"/>
      <c r="X303" s="89"/>
      <c r="Y303" s="89"/>
      <c r="Z303" s="89"/>
      <c r="AA303" s="89"/>
      <c r="AB303" s="89"/>
      <c r="AC303" s="89"/>
      <c r="AD303" s="89"/>
    </row>
    <row r="304" spans="18:30" x14ac:dyDescent="0.3">
      <c r="R304" s="89"/>
      <c r="S304" s="89"/>
      <c r="T304" s="89"/>
      <c r="U304" s="89"/>
      <c r="V304" s="89"/>
      <c r="W304" s="89"/>
      <c r="X304" s="89"/>
      <c r="Y304" s="89"/>
      <c r="Z304" s="89"/>
      <c r="AA304" s="89"/>
      <c r="AB304" s="89"/>
      <c r="AC304" s="89"/>
      <c r="AD304" s="89"/>
    </row>
    <row r="305" spans="18:30" x14ac:dyDescent="0.3"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</row>
    <row r="306" spans="18:30" x14ac:dyDescent="0.3">
      <c r="R306" s="89"/>
      <c r="S306" s="89"/>
      <c r="T306" s="89"/>
      <c r="U306" s="89"/>
      <c r="V306" s="89"/>
      <c r="W306" s="89"/>
      <c r="X306" s="89"/>
      <c r="Y306" s="89"/>
      <c r="Z306" s="89"/>
      <c r="AA306" s="89"/>
      <c r="AB306" s="89"/>
      <c r="AC306" s="89"/>
      <c r="AD306" s="89"/>
    </row>
    <row r="307" spans="18:30" x14ac:dyDescent="0.3"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</row>
    <row r="308" spans="18:30" x14ac:dyDescent="0.3"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</row>
    <row r="309" spans="18:30" x14ac:dyDescent="0.3">
      <c r="R309" s="89"/>
      <c r="S309" s="89"/>
      <c r="T309" s="89"/>
      <c r="U309" s="89"/>
      <c r="V309" s="89"/>
      <c r="W309" s="89"/>
      <c r="X309" s="89"/>
      <c r="Y309" s="89"/>
      <c r="Z309" s="89"/>
      <c r="AA309" s="89"/>
      <c r="AB309" s="89"/>
      <c r="AC309" s="89"/>
      <c r="AD309" s="89"/>
    </row>
    <row r="310" spans="18:30" x14ac:dyDescent="0.3">
      <c r="R310" s="89"/>
      <c r="S310" s="89"/>
      <c r="T310" s="89"/>
      <c r="U310" s="89"/>
      <c r="V310" s="89"/>
      <c r="W310" s="89"/>
      <c r="X310" s="89"/>
      <c r="Y310" s="89"/>
      <c r="Z310" s="89"/>
      <c r="AA310" s="89"/>
      <c r="AB310" s="89"/>
      <c r="AC310" s="89"/>
      <c r="AD310" s="89"/>
    </row>
    <row r="311" spans="18:30" x14ac:dyDescent="0.3">
      <c r="R311" s="89"/>
      <c r="S311" s="89"/>
      <c r="T311" s="89"/>
      <c r="U311" s="89"/>
      <c r="V311" s="89"/>
      <c r="W311" s="89"/>
      <c r="X311" s="89"/>
      <c r="Y311" s="89"/>
      <c r="Z311" s="89"/>
      <c r="AA311" s="89"/>
      <c r="AB311" s="89"/>
      <c r="AC311" s="89"/>
      <c r="AD311" s="89"/>
    </row>
    <row r="312" spans="18:30" x14ac:dyDescent="0.3">
      <c r="R312" s="89"/>
      <c r="S312" s="89"/>
      <c r="T312" s="89"/>
      <c r="U312" s="89"/>
      <c r="V312" s="89"/>
      <c r="W312" s="89"/>
      <c r="X312" s="89"/>
      <c r="Y312" s="89"/>
      <c r="Z312" s="89"/>
      <c r="AA312" s="89"/>
      <c r="AB312" s="89"/>
      <c r="AC312" s="89"/>
      <c r="AD312" s="89"/>
    </row>
    <row r="313" spans="18:30" x14ac:dyDescent="0.3"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</row>
    <row r="314" spans="18:30" x14ac:dyDescent="0.3">
      <c r="R314" s="89"/>
      <c r="S314" s="89"/>
      <c r="T314" s="89"/>
      <c r="U314" s="89"/>
      <c r="V314" s="89"/>
      <c r="W314" s="89"/>
      <c r="X314" s="89"/>
      <c r="Y314" s="89"/>
      <c r="Z314" s="89"/>
      <c r="AA314" s="89"/>
      <c r="AB314" s="89"/>
      <c r="AC314" s="89"/>
      <c r="AD314" s="89"/>
    </row>
    <row r="315" spans="18:30" x14ac:dyDescent="0.3">
      <c r="R315" s="89"/>
      <c r="S315" s="89"/>
      <c r="T315" s="89"/>
      <c r="U315" s="89"/>
      <c r="V315" s="89"/>
      <c r="W315" s="89"/>
      <c r="X315" s="89"/>
      <c r="Y315" s="89"/>
      <c r="Z315" s="89"/>
      <c r="AA315" s="89"/>
      <c r="AB315" s="89"/>
      <c r="AC315" s="89"/>
      <c r="AD315" s="89"/>
    </row>
    <row r="316" spans="18:30" x14ac:dyDescent="0.3"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</row>
    <row r="317" spans="18:30" x14ac:dyDescent="0.3">
      <c r="R317" s="89"/>
      <c r="S317" s="89"/>
      <c r="T317" s="89"/>
      <c r="U317" s="89"/>
      <c r="V317" s="89"/>
      <c r="W317" s="89"/>
      <c r="X317" s="89"/>
      <c r="Y317" s="89"/>
      <c r="Z317" s="89"/>
      <c r="AA317" s="89"/>
      <c r="AB317" s="89"/>
      <c r="AC317" s="89"/>
      <c r="AD317" s="89"/>
    </row>
    <row r="318" spans="18:30" x14ac:dyDescent="0.3">
      <c r="R318" s="89"/>
      <c r="S318" s="89"/>
      <c r="T318" s="89"/>
      <c r="U318" s="89"/>
      <c r="V318" s="89"/>
      <c r="W318" s="89"/>
      <c r="X318" s="89"/>
      <c r="Y318" s="89"/>
      <c r="Z318" s="89"/>
      <c r="AA318" s="89"/>
      <c r="AB318" s="89"/>
      <c r="AC318" s="89"/>
      <c r="AD318" s="89"/>
    </row>
    <row r="319" spans="18:30" x14ac:dyDescent="0.3"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</row>
    <row r="320" spans="18:30" x14ac:dyDescent="0.3">
      <c r="R320" s="89"/>
      <c r="S320" s="89"/>
      <c r="T320" s="89"/>
      <c r="U320" s="89"/>
      <c r="V320" s="89"/>
      <c r="W320" s="89"/>
      <c r="X320" s="89"/>
      <c r="Y320" s="89"/>
      <c r="Z320" s="89"/>
      <c r="AA320" s="89"/>
      <c r="AB320" s="89"/>
      <c r="AC320" s="89"/>
      <c r="AD320" s="89"/>
    </row>
    <row r="321" spans="18:30" x14ac:dyDescent="0.3">
      <c r="R321" s="89"/>
      <c r="S321" s="89"/>
      <c r="T321" s="89"/>
      <c r="U321" s="89"/>
      <c r="V321" s="89"/>
      <c r="W321" s="89"/>
      <c r="X321" s="89"/>
      <c r="Y321" s="89"/>
      <c r="Z321" s="89"/>
      <c r="AA321" s="89"/>
      <c r="AB321" s="89"/>
      <c r="AC321" s="89"/>
      <c r="AD321" s="89"/>
    </row>
    <row r="322" spans="18:30" x14ac:dyDescent="0.3"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</row>
    <row r="323" spans="18:30" x14ac:dyDescent="0.3">
      <c r="R323" s="89"/>
      <c r="S323" s="89"/>
      <c r="T323" s="89"/>
      <c r="U323" s="89"/>
      <c r="V323" s="89"/>
      <c r="W323" s="89"/>
      <c r="X323" s="89"/>
      <c r="Y323" s="89"/>
      <c r="Z323" s="89"/>
      <c r="AA323" s="89"/>
      <c r="AB323" s="89"/>
      <c r="AC323" s="89"/>
      <c r="AD323" s="89"/>
    </row>
    <row r="324" spans="18:30" x14ac:dyDescent="0.3"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</row>
    <row r="325" spans="18:30" x14ac:dyDescent="0.3">
      <c r="R325" s="89"/>
      <c r="S325" s="89"/>
      <c r="T325" s="89"/>
      <c r="U325" s="89"/>
      <c r="V325" s="89"/>
      <c r="W325" s="89"/>
      <c r="X325" s="89"/>
      <c r="Y325" s="89"/>
      <c r="Z325" s="89"/>
      <c r="AA325" s="89"/>
      <c r="AB325" s="89"/>
      <c r="AC325" s="89"/>
      <c r="AD325" s="89"/>
    </row>
    <row r="326" spans="18:30" x14ac:dyDescent="0.3">
      <c r="R326" s="89"/>
      <c r="S326" s="89"/>
      <c r="T326" s="89"/>
      <c r="U326" s="89"/>
      <c r="V326" s="89"/>
      <c r="W326" s="89"/>
      <c r="X326" s="89"/>
      <c r="Y326" s="89"/>
      <c r="Z326" s="89"/>
      <c r="AA326" s="89"/>
      <c r="AB326" s="89"/>
      <c r="AC326" s="89"/>
      <c r="AD326" s="89"/>
    </row>
    <row r="327" spans="18:30" x14ac:dyDescent="0.3"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</row>
    <row r="328" spans="18:30" x14ac:dyDescent="0.3">
      <c r="R328" s="89"/>
      <c r="S328" s="89"/>
      <c r="T328" s="89"/>
      <c r="U328" s="89"/>
      <c r="V328" s="89"/>
      <c r="W328" s="89"/>
      <c r="X328" s="89"/>
      <c r="Y328" s="89"/>
      <c r="Z328" s="89"/>
      <c r="AA328" s="89"/>
      <c r="AB328" s="89"/>
      <c r="AC328" s="89"/>
      <c r="AD328" s="89"/>
    </row>
    <row r="329" spans="18:30" x14ac:dyDescent="0.3">
      <c r="R329" s="89"/>
      <c r="S329" s="89"/>
      <c r="T329" s="89"/>
      <c r="U329" s="89"/>
      <c r="V329" s="89"/>
      <c r="W329" s="89"/>
      <c r="X329" s="89"/>
      <c r="Y329" s="89"/>
      <c r="Z329" s="89"/>
      <c r="AA329" s="89"/>
      <c r="AB329" s="89"/>
      <c r="AC329" s="89"/>
      <c r="AD329" s="89"/>
    </row>
    <row r="330" spans="18:30" x14ac:dyDescent="0.3">
      <c r="R330" s="89"/>
      <c r="S330" s="89"/>
      <c r="T330" s="89"/>
      <c r="U330" s="89"/>
      <c r="V330" s="89"/>
      <c r="W330" s="89"/>
      <c r="X330" s="89"/>
      <c r="Y330" s="89"/>
      <c r="Z330" s="89"/>
      <c r="AA330" s="89"/>
      <c r="AB330" s="89"/>
      <c r="AC330" s="89"/>
      <c r="AD330" s="89"/>
    </row>
    <row r="331" spans="18:30" x14ac:dyDescent="0.3">
      <c r="R331" s="89"/>
      <c r="S331" s="89"/>
      <c r="T331" s="89"/>
      <c r="U331" s="89"/>
      <c r="V331" s="89"/>
      <c r="W331" s="89"/>
      <c r="X331" s="89"/>
      <c r="Y331" s="89"/>
      <c r="Z331" s="89"/>
      <c r="AA331" s="89"/>
      <c r="AB331" s="89"/>
      <c r="AC331" s="89"/>
      <c r="AD331" s="89"/>
    </row>
    <row r="332" spans="18:30" x14ac:dyDescent="0.3">
      <c r="R332" s="89"/>
      <c r="S332" s="89"/>
      <c r="T332" s="89"/>
      <c r="U332" s="89"/>
      <c r="V332" s="89"/>
      <c r="W332" s="89"/>
      <c r="X332" s="89"/>
      <c r="Y332" s="89"/>
      <c r="Z332" s="89"/>
      <c r="AA332" s="89"/>
      <c r="AB332" s="89"/>
      <c r="AC332" s="89"/>
      <c r="AD332" s="89"/>
    </row>
    <row r="333" spans="18:30" x14ac:dyDescent="0.3">
      <c r="R333" s="89"/>
      <c r="S333" s="89"/>
      <c r="T333" s="89"/>
      <c r="U333" s="89"/>
      <c r="V333" s="89"/>
      <c r="W333" s="89"/>
      <c r="X333" s="89"/>
      <c r="Y333" s="89"/>
      <c r="Z333" s="89"/>
      <c r="AA333" s="89"/>
      <c r="AB333" s="89"/>
      <c r="AC333" s="89"/>
      <c r="AD333" s="89"/>
    </row>
    <row r="334" spans="18:30" x14ac:dyDescent="0.3">
      <c r="R334" s="89"/>
      <c r="S334" s="89"/>
      <c r="T334" s="89"/>
      <c r="U334" s="89"/>
      <c r="V334" s="89"/>
      <c r="W334" s="89"/>
      <c r="X334" s="89"/>
      <c r="Y334" s="89"/>
      <c r="Z334" s="89"/>
      <c r="AA334" s="89"/>
      <c r="AB334" s="89"/>
      <c r="AC334" s="89"/>
      <c r="AD334" s="89"/>
    </row>
    <row r="335" spans="18:30" x14ac:dyDescent="0.3">
      <c r="R335" s="89"/>
      <c r="S335" s="89"/>
      <c r="T335" s="89"/>
      <c r="U335" s="89"/>
      <c r="V335" s="89"/>
      <c r="W335" s="89"/>
      <c r="X335" s="89"/>
      <c r="Y335" s="89"/>
      <c r="Z335" s="89"/>
      <c r="AA335" s="89"/>
      <c r="AB335" s="89"/>
      <c r="AC335" s="89"/>
      <c r="AD335" s="89"/>
    </row>
    <row r="336" spans="18:30" x14ac:dyDescent="0.3"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</row>
    <row r="337" spans="18:30" x14ac:dyDescent="0.3">
      <c r="R337" s="89"/>
      <c r="S337" s="89"/>
      <c r="T337" s="89"/>
      <c r="U337" s="89"/>
      <c r="V337" s="89"/>
      <c r="W337" s="89"/>
      <c r="X337" s="89"/>
      <c r="Y337" s="89"/>
      <c r="Z337" s="89"/>
      <c r="AA337" s="89"/>
      <c r="AB337" s="89"/>
      <c r="AC337" s="89"/>
      <c r="AD337" s="89"/>
    </row>
    <row r="338" spans="18:30" x14ac:dyDescent="0.3">
      <c r="R338" s="89"/>
      <c r="S338" s="89"/>
      <c r="T338" s="89"/>
      <c r="U338" s="89"/>
      <c r="V338" s="89"/>
      <c r="W338" s="89"/>
      <c r="X338" s="89"/>
      <c r="Y338" s="89"/>
      <c r="Z338" s="89"/>
      <c r="AA338" s="89"/>
      <c r="AB338" s="89"/>
      <c r="AC338" s="89"/>
      <c r="AD338" s="89"/>
    </row>
    <row r="339" spans="18:30" x14ac:dyDescent="0.3"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</row>
    <row r="340" spans="18:30" x14ac:dyDescent="0.3">
      <c r="R340" s="89"/>
      <c r="S340" s="89"/>
      <c r="T340" s="89"/>
      <c r="U340" s="89"/>
      <c r="V340" s="89"/>
      <c r="W340" s="89"/>
      <c r="X340" s="89"/>
      <c r="Y340" s="89"/>
      <c r="Z340" s="89"/>
      <c r="AA340" s="89"/>
      <c r="AB340" s="89"/>
      <c r="AC340" s="89"/>
      <c r="AD340" s="89"/>
    </row>
    <row r="341" spans="18:30" x14ac:dyDescent="0.3"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</row>
    <row r="342" spans="18:30" x14ac:dyDescent="0.3"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</row>
    <row r="343" spans="18:30" x14ac:dyDescent="0.3">
      <c r="R343" s="89"/>
      <c r="S343" s="89"/>
      <c r="T343" s="89"/>
      <c r="U343" s="89"/>
      <c r="V343" s="89"/>
      <c r="W343" s="89"/>
      <c r="X343" s="89"/>
      <c r="Y343" s="89"/>
      <c r="Z343" s="89"/>
      <c r="AA343" s="89"/>
      <c r="AB343" s="89"/>
      <c r="AC343" s="89"/>
      <c r="AD343" s="89"/>
    </row>
    <row r="344" spans="18:30" x14ac:dyDescent="0.3">
      <c r="R344" s="89"/>
      <c r="S344" s="89"/>
      <c r="T344" s="89"/>
      <c r="U344" s="89"/>
      <c r="V344" s="89"/>
      <c r="W344" s="89"/>
      <c r="X344" s="89"/>
      <c r="Y344" s="89"/>
      <c r="Z344" s="89"/>
      <c r="AA344" s="89"/>
      <c r="AB344" s="89"/>
      <c r="AC344" s="89"/>
      <c r="AD344" s="89"/>
    </row>
    <row r="345" spans="18:30" x14ac:dyDescent="0.3"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</row>
    <row r="346" spans="18:30" x14ac:dyDescent="0.3">
      <c r="R346" s="89"/>
      <c r="S346" s="89"/>
      <c r="T346" s="89"/>
      <c r="U346" s="89"/>
      <c r="V346" s="89"/>
      <c r="W346" s="89"/>
      <c r="X346" s="89"/>
      <c r="Y346" s="89"/>
      <c r="Z346" s="89"/>
      <c r="AA346" s="89"/>
      <c r="AB346" s="89"/>
      <c r="AC346" s="89"/>
      <c r="AD346" s="89"/>
    </row>
    <row r="347" spans="18:30" x14ac:dyDescent="0.3">
      <c r="R347" s="89"/>
      <c r="S347" s="89"/>
      <c r="T347" s="89"/>
      <c r="U347" s="89"/>
      <c r="V347" s="89"/>
      <c r="W347" s="89"/>
      <c r="X347" s="89"/>
      <c r="Y347" s="89"/>
      <c r="Z347" s="89"/>
      <c r="AA347" s="89"/>
      <c r="AB347" s="89"/>
      <c r="AC347" s="89"/>
      <c r="AD347" s="89"/>
    </row>
    <row r="348" spans="18:30" x14ac:dyDescent="0.3"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</row>
    <row r="349" spans="18:30" x14ac:dyDescent="0.3">
      <c r="R349" s="89"/>
      <c r="S349" s="89"/>
      <c r="T349" s="89"/>
      <c r="U349" s="89"/>
      <c r="V349" s="89"/>
      <c r="W349" s="89"/>
      <c r="X349" s="89"/>
      <c r="Y349" s="89"/>
      <c r="Z349" s="89"/>
      <c r="AA349" s="89"/>
      <c r="AB349" s="89"/>
      <c r="AC349" s="89"/>
      <c r="AD349" s="89"/>
    </row>
    <row r="350" spans="18:30" x14ac:dyDescent="0.3">
      <c r="R350" s="89"/>
      <c r="S350" s="89"/>
      <c r="T350" s="89"/>
      <c r="U350" s="89"/>
      <c r="V350" s="89"/>
      <c r="W350" s="89"/>
      <c r="X350" s="89"/>
      <c r="Y350" s="89"/>
      <c r="Z350" s="89"/>
      <c r="AA350" s="89"/>
      <c r="AB350" s="89"/>
      <c r="AC350" s="89"/>
      <c r="AD350" s="89"/>
    </row>
    <row r="351" spans="18:30" x14ac:dyDescent="0.3">
      <c r="R351" s="89"/>
      <c r="S351" s="89"/>
      <c r="T351" s="89"/>
      <c r="U351" s="89"/>
      <c r="V351" s="89"/>
      <c r="W351" s="89"/>
      <c r="X351" s="89"/>
      <c r="Y351" s="89"/>
      <c r="Z351" s="89"/>
      <c r="AA351" s="89"/>
      <c r="AB351" s="89"/>
      <c r="AC351" s="89"/>
      <c r="AD351" s="89"/>
    </row>
    <row r="352" spans="18:30" x14ac:dyDescent="0.3">
      <c r="R352" s="89"/>
      <c r="S352" s="89"/>
      <c r="T352" s="89"/>
      <c r="U352" s="89"/>
      <c r="V352" s="89"/>
      <c r="W352" s="89"/>
      <c r="X352" s="89"/>
      <c r="Y352" s="89"/>
      <c r="Z352" s="89"/>
      <c r="AA352" s="89"/>
      <c r="AB352" s="89"/>
      <c r="AC352" s="89"/>
      <c r="AD352" s="89"/>
    </row>
    <row r="353" spans="18:30" x14ac:dyDescent="0.3"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</row>
    <row r="354" spans="18:30" x14ac:dyDescent="0.3">
      <c r="R354" s="89"/>
      <c r="S354" s="89"/>
      <c r="T354" s="89"/>
      <c r="U354" s="89"/>
      <c r="V354" s="89"/>
      <c r="W354" s="89"/>
      <c r="X354" s="89"/>
      <c r="Y354" s="89"/>
      <c r="Z354" s="89"/>
      <c r="AA354" s="89"/>
      <c r="AB354" s="89"/>
      <c r="AC354" s="89"/>
      <c r="AD354" s="89"/>
    </row>
    <row r="355" spans="18:30" x14ac:dyDescent="0.3">
      <c r="R355" s="89"/>
      <c r="S355" s="89"/>
      <c r="T355" s="89"/>
      <c r="U355" s="89"/>
      <c r="V355" s="89"/>
      <c r="W355" s="89"/>
      <c r="X355" s="89"/>
      <c r="Y355" s="89"/>
      <c r="Z355" s="89"/>
      <c r="AA355" s="89"/>
      <c r="AB355" s="89"/>
      <c r="AC355" s="89"/>
      <c r="AD355" s="89"/>
    </row>
    <row r="356" spans="18:30" x14ac:dyDescent="0.3"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</row>
    <row r="357" spans="18:30" x14ac:dyDescent="0.3">
      <c r="R357" s="89"/>
      <c r="S357" s="89"/>
      <c r="T357" s="89"/>
      <c r="U357" s="89"/>
      <c r="V357" s="89"/>
      <c r="W357" s="89"/>
      <c r="X357" s="89"/>
      <c r="Y357" s="89"/>
      <c r="Z357" s="89"/>
      <c r="AA357" s="89"/>
      <c r="AB357" s="89"/>
      <c r="AC357" s="89"/>
      <c r="AD357" s="89"/>
    </row>
    <row r="358" spans="18:30" x14ac:dyDescent="0.3">
      <c r="R358" s="89"/>
      <c r="S358" s="89"/>
      <c r="T358" s="89"/>
      <c r="U358" s="89"/>
      <c r="V358" s="89"/>
      <c r="W358" s="89"/>
      <c r="X358" s="89"/>
      <c r="Y358" s="89"/>
      <c r="Z358" s="89"/>
      <c r="AA358" s="89"/>
      <c r="AB358" s="89"/>
      <c r="AC358" s="89"/>
      <c r="AD358" s="89"/>
    </row>
    <row r="359" spans="18:30" x14ac:dyDescent="0.3"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</row>
    <row r="360" spans="18:30" x14ac:dyDescent="0.3">
      <c r="R360" s="89"/>
      <c r="S360" s="89"/>
      <c r="T360" s="89"/>
      <c r="U360" s="89"/>
      <c r="V360" s="89"/>
      <c r="W360" s="89"/>
      <c r="X360" s="89"/>
      <c r="Y360" s="89"/>
      <c r="Z360" s="89"/>
      <c r="AA360" s="89"/>
      <c r="AB360" s="89"/>
      <c r="AC360" s="89"/>
      <c r="AD360" s="89"/>
    </row>
    <row r="361" spans="18:30" x14ac:dyDescent="0.3">
      <c r="R361" s="89"/>
      <c r="S361" s="89"/>
      <c r="T361" s="89"/>
      <c r="U361" s="89"/>
      <c r="V361" s="89"/>
      <c r="W361" s="89"/>
      <c r="X361" s="89"/>
      <c r="Y361" s="89"/>
      <c r="Z361" s="89"/>
      <c r="AA361" s="89"/>
      <c r="AB361" s="89"/>
      <c r="AC361" s="89"/>
      <c r="AD361" s="89"/>
    </row>
    <row r="362" spans="18:30" x14ac:dyDescent="0.3"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</row>
    <row r="363" spans="18:30" x14ac:dyDescent="0.3">
      <c r="R363" s="89"/>
      <c r="S363" s="89"/>
      <c r="T363" s="89"/>
      <c r="U363" s="89"/>
      <c r="V363" s="89"/>
      <c r="W363" s="89"/>
      <c r="X363" s="89"/>
      <c r="Y363" s="89"/>
      <c r="Z363" s="89"/>
      <c r="AA363" s="89"/>
      <c r="AB363" s="89"/>
      <c r="AC363" s="89"/>
      <c r="AD363" s="89"/>
    </row>
    <row r="364" spans="18:30" x14ac:dyDescent="0.3">
      <c r="R364" s="89"/>
      <c r="S364" s="89"/>
      <c r="T364" s="89"/>
      <c r="U364" s="89"/>
      <c r="V364" s="89"/>
      <c r="W364" s="89"/>
      <c r="X364" s="89"/>
      <c r="Y364" s="89"/>
      <c r="Z364" s="89"/>
      <c r="AA364" s="89"/>
      <c r="AB364" s="89"/>
      <c r="AC364" s="89"/>
      <c r="AD364" s="89"/>
    </row>
    <row r="365" spans="18:30" x14ac:dyDescent="0.3">
      <c r="R365" s="89"/>
      <c r="S365" s="89"/>
      <c r="T365" s="89"/>
      <c r="U365" s="89"/>
      <c r="V365" s="89"/>
      <c r="W365" s="89"/>
      <c r="X365" s="89"/>
      <c r="Y365" s="89"/>
      <c r="Z365" s="89"/>
      <c r="AA365" s="89"/>
      <c r="AB365" s="89"/>
      <c r="AC365" s="89"/>
      <c r="AD365" s="89"/>
    </row>
    <row r="366" spans="18:30" x14ac:dyDescent="0.3">
      <c r="R366" s="89"/>
      <c r="S366" s="89"/>
      <c r="T366" s="89"/>
      <c r="U366" s="89"/>
      <c r="V366" s="89"/>
      <c r="W366" s="89"/>
      <c r="X366" s="89"/>
      <c r="Y366" s="89"/>
      <c r="Z366" s="89"/>
      <c r="AA366" s="89"/>
      <c r="AB366" s="89"/>
      <c r="AC366" s="89"/>
      <c r="AD366" s="89"/>
    </row>
    <row r="367" spans="18:30" x14ac:dyDescent="0.3"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</row>
    <row r="368" spans="18:30" x14ac:dyDescent="0.3">
      <c r="R368" s="89"/>
      <c r="S368" s="89"/>
      <c r="T368" s="89"/>
      <c r="U368" s="89"/>
      <c r="V368" s="89"/>
      <c r="W368" s="89"/>
      <c r="X368" s="89"/>
      <c r="Y368" s="89"/>
      <c r="Z368" s="89"/>
      <c r="AA368" s="89"/>
      <c r="AB368" s="89"/>
      <c r="AC368" s="89"/>
      <c r="AD368" s="89"/>
    </row>
    <row r="369" spans="18:30" x14ac:dyDescent="0.3">
      <c r="R369" s="89"/>
      <c r="S369" s="89"/>
      <c r="T369" s="89"/>
      <c r="U369" s="89"/>
      <c r="V369" s="89"/>
      <c r="W369" s="89"/>
      <c r="X369" s="89"/>
      <c r="Y369" s="89"/>
      <c r="Z369" s="89"/>
      <c r="AA369" s="89"/>
      <c r="AB369" s="89"/>
      <c r="AC369" s="89"/>
      <c r="AD369" s="89"/>
    </row>
    <row r="370" spans="18:30" x14ac:dyDescent="0.3"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</row>
    <row r="371" spans="18:30" x14ac:dyDescent="0.3">
      <c r="R371" s="89"/>
      <c r="S371" s="89"/>
      <c r="T371" s="89"/>
      <c r="U371" s="89"/>
      <c r="V371" s="89"/>
      <c r="W371" s="89"/>
      <c r="X371" s="89"/>
      <c r="Y371" s="89"/>
      <c r="Z371" s="89"/>
      <c r="AA371" s="89"/>
      <c r="AB371" s="89"/>
      <c r="AC371" s="89"/>
      <c r="AD371" s="89"/>
    </row>
    <row r="372" spans="18:30" x14ac:dyDescent="0.3">
      <c r="R372" s="89"/>
      <c r="S372" s="89"/>
      <c r="T372" s="89"/>
      <c r="U372" s="89"/>
      <c r="V372" s="89"/>
      <c r="W372" s="89"/>
      <c r="X372" s="89"/>
      <c r="Y372" s="89"/>
      <c r="Z372" s="89"/>
      <c r="AA372" s="89"/>
      <c r="AB372" s="89"/>
      <c r="AC372" s="89"/>
      <c r="AD372" s="89"/>
    </row>
    <row r="373" spans="18:30" x14ac:dyDescent="0.3"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</row>
    <row r="374" spans="18:30" x14ac:dyDescent="0.3">
      <c r="R374" s="89"/>
      <c r="S374" s="89"/>
      <c r="T374" s="89"/>
      <c r="U374" s="89"/>
      <c r="V374" s="89"/>
      <c r="W374" s="89"/>
      <c r="X374" s="89"/>
      <c r="Y374" s="89"/>
      <c r="Z374" s="89"/>
      <c r="AA374" s="89"/>
      <c r="AB374" s="89"/>
      <c r="AC374" s="89"/>
      <c r="AD374" s="89"/>
    </row>
    <row r="375" spans="18:30" x14ac:dyDescent="0.3">
      <c r="R375" s="89"/>
      <c r="S375" s="89"/>
      <c r="T375" s="89"/>
      <c r="U375" s="89"/>
      <c r="V375" s="89"/>
      <c r="W375" s="89"/>
      <c r="X375" s="89"/>
      <c r="Y375" s="89"/>
      <c r="Z375" s="89"/>
      <c r="AA375" s="89"/>
      <c r="AB375" s="89"/>
      <c r="AC375" s="89"/>
      <c r="AD375" s="89"/>
    </row>
    <row r="376" spans="18:30" x14ac:dyDescent="0.3"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</row>
    <row r="377" spans="18:30" x14ac:dyDescent="0.3">
      <c r="R377" s="89"/>
      <c r="S377" s="89"/>
      <c r="T377" s="89"/>
      <c r="U377" s="89"/>
      <c r="V377" s="89"/>
      <c r="W377" s="89"/>
      <c r="X377" s="89"/>
      <c r="Y377" s="89"/>
      <c r="Z377" s="89"/>
      <c r="AA377" s="89"/>
      <c r="AB377" s="89"/>
      <c r="AC377" s="89"/>
      <c r="AD377" s="89"/>
    </row>
    <row r="378" spans="18:30" x14ac:dyDescent="0.3">
      <c r="R378" s="89"/>
      <c r="S378" s="89"/>
      <c r="T378" s="89"/>
      <c r="U378" s="89"/>
      <c r="V378" s="89"/>
      <c r="W378" s="89"/>
      <c r="X378" s="89"/>
      <c r="Y378" s="89"/>
      <c r="Z378" s="89"/>
      <c r="AA378" s="89"/>
      <c r="AB378" s="89"/>
      <c r="AC378" s="89"/>
      <c r="AD378" s="89"/>
    </row>
    <row r="379" spans="18:30" x14ac:dyDescent="0.3"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</row>
    <row r="380" spans="18:30" x14ac:dyDescent="0.3">
      <c r="R380" s="89"/>
      <c r="S380" s="89"/>
      <c r="T380" s="89"/>
      <c r="U380" s="89"/>
      <c r="V380" s="89"/>
      <c r="W380" s="89"/>
      <c r="X380" s="89"/>
      <c r="Y380" s="89"/>
      <c r="Z380" s="89"/>
      <c r="AA380" s="89"/>
      <c r="AB380" s="89"/>
      <c r="AC380" s="89"/>
      <c r="AD380" s="89"/>
    </row>
    <row r="381" spans="18:30" x14ac:dyDescent="0.3">
      <c r="R381" s="89"/>
      <c r="S381" s="89"/>
      <c r="T381" s="89"/>
      <c r="U381" s="89"/>
      <c r="V381" s="89"/>
      <c r="W381" s="89"/>
      <c r="X381" s="89"/>
      <c r="Y381" s="89"/>
      <c r="Z381" s="89"/>
      <c r="AA381" s="89"/>
      <c r="AB381" s="89"/>
      <c r="AC381" s="89"/>
      <c r="AD381" s="89"/>
    </row>
    <row r="382" spans="18:30" x14ac:dyDescent="0.3">
      <c r="R382" s="89"/>
      <c r="S382" s="89"/>
      <c r="T382" s="89"/>
      <c r="U382" s="89"/>
      <c r="V382" s="89"/>
      <c r="W382" s="89"/>
      <c r="X382" s="89"/>
      <c r="Y382" s="89"/>
      <c r="Z382" s="89"/>
      <c r="AA382" s="89"/>
      <c r="AB382" s="89"/>
      <c r="AC382" s="89"/>
      <c r="AD382" s="89"/>
    </row>
    <row r="383" spans="18:30" x14ac:dyDescent="0.3">
      <c r="R383" s="89"/>
      <c r="S383" s="89"/>
      <c r="T383" s="89"/>
      <c r="U383" s="89"/>
      <c r="V383" s="89"/>
      <c r="W383" s="89"/>
      <c r="X383" s="89"/>
      <c r="Y383" s="89"/>
      <c r="Z383" s="89"/>
      <c r="AA383" s="89"/>
      <c r="AB383" s="89"/>
      <c r="AC383" s="89"/>
      <c r="AD383" s="89"/>
    </row>
    <row r="384" spans="18:30" x14ac:dyDescent="0.3"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</row>
    <row r="385" spans="18:30" x14ac:dyDescent="0.3">
      <c r="R385" s="89"/>
      <c r="S385" s="89"/>
      <c r="T385" s="89"/>
      <c r="U385" s="89"/>
      <c r="V385" s="89"/>
      <c r="W385" s="89"/>
      <c r="X385" s="89"/>
      <c r="Y385" s="89"/>
      <c r="Z385" s="89"/>
      <c r="AA385" s="89"/>
      <c r="AB385" s="89"/>
      <c r="AC385" s="89"/>
      <c r="AD385" s="89"/>
    </row>
    <row r="386" spans="18:30" x14ac:dyDescent="0.3">
      <c r="R386" s="89"/>
      <c r="S386" s="89"/>
      <c r="T386" s="89"/>
      <c r="U386" s="89"/>
      <c r="V386" s="89"/>
      <c r="W386" s="89"/>
      <c r="X386" s="89"/>
      <c r="Y386" s="89"/>
      <c r="Z386" s="89"/>
      <c r="AA386" s="89"/>
      <c r="AB386" s="89"/>
      <c r="AC386" s="89"/>
      <c r="AD386" s="89"/>
    </row>
    <row r="387" spans="18:30" x14ac:dyDescent="0.3">
      <c r="R387" s="89"/>
      <c r="S387" s="89"/>
      <c r="T387" s="89"/>
      <c r="U387" s="89"/>
      <c r="V387" s="89"/>
      <c r="W387" s="89"/>
      <c r="X387" s="89"/>
      <c r="Y387" s="89"/>
      <c r="Z387" s="89"/>
      <c r="AA387" s="89"/>
      <c r="AB387" s="89"/>
      <c r="AC387" s="89"/>
      <c r="AD387" s="89"/>
    </row>
    <row r="388" spans="18:30" x14ac:dyDescent="0.3">
      <c r="R388" s="89"/>
      <c r="S388" s="89"/>
      <c r="T388" s="89"/>
      <c r="U388" s="89"/>
      <c r="V388" s="89"/>
      <c r="W388" s="89"/>
      <c r="X388" s="89"/>
      <c r="Y388" s="89"/>
      <c r="Z388" s="89"/>
      <c r="AA388" s="89"/>
      <c r="AB388" s="89"/>
      <c r="AC388" s="89"/>
      <c r="AD388" s="89"/>
    </row>
    <row r="389" spans="18:30" x14ac:dyDescent="0.3">
      <c r="R389" s="89"/>
      <c r="S389" s="89"/>
      <c r="T389" s="89"/>
      <c r="U389" s="89"/>
      <c r="V389" s="89"/>
      <c r="W389" s="89"/>
      <c r="X389" s="89"/>
      <c r="Y389" s="89"/>
      <c r="Z389" s="89"/>
      <c r="AA389" s="89"/>
      <c r="AB389" s="89"/>
      <c r="AC389" s="89"/>
      <c r="AD389" s="89"/>
    </row>
    <row r="390" spans="18:30" x14ac:dyDescent="0.3"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</row>
    <row r="391" spans="18:30" x14ac:dyDescent="0.3">
      <c r="R391" s="89"/>
      <c r="S391" s="89"/>
      <c r="T391" s="89"/>
      <c r="U391" s="89"/>
      <c r="V391" s="89"/>
      <c r="W391" s="89"/>
      <c r="X391" s="89"/>
      <c r="Y391" s="89"/>
      <c r="Z391" s="89"/>
      <c r="AA391" s="89"/>
      <c r="AB391" s="89"/>
      <c r="AC391" s="89"/>
      <c r="AD391" s="89"/>
    </row>
    <row r="392" spans="18:30" x14ac:dyDescent="0.3">
      <c r="R392" s="89"/>
      <c r="S392" s="89"/>
      <c r="T392" s="89"/>
      <c r="U392" s="89"/>
      <c r="V392" s="89"/>
      <c r="W392" s="89"/>
      <c r="X392" s="89"/>
      <c r="Y392" s="89"/>
      <c r="Z392" s="89"/>
      <c r="AA392" s="89"/>
      <c r="AB392" s="89"/>
      <c r="AC392" s="89"/>
      <c r="AD392" s="89"/>
    </row>
    <row r="393" spans="18:30" x14ac:dyDescent="0.3"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</row>
    <row r="394" spans="18:30" x14ac:dyDescent="0.3">
      <c r="R394" s="89"/>
      <c r="S394" s="89"/>
      <c r="T394" s="89"/>
      <c r="U394" s="89"/>
      <c r="V394" s="89"/>
      <c r="W394" s="89"/>
      <c r="X394" s="89"/>
      <c r="Y394" s="89"/>
      <c r="Z394" s="89"/>
      <c r="AA394" s="89"/>
      <c r="AB394" s="89"/>
      <c r="AC394" s="89"/>
      <c r="AD394" s="89"/>
    </row>
    <row r="395" spans="18:30" x14ac:dyDescent="0.3">
      <c r="R395" s="89"/>
      <c r="S395" s="89"/>
      <c r="T395" s="89"/>
      <c r="U395" s="89"/>
      <c r="V395" s="89"/>
      <c r="W395" s="89"/>
      <c r="X395" s="89"/>
      <c r="Y395" s="89"/>
      <c r="Z395" s="89"/>
      <c r="AA395" s="89"/>
      <c r="AB395" s="89"/>
      <c r="AC395" s="89"/>
      <c r="AD395" s="89"/>
    </row>
    <row r="396" spans="18:30" x14ac:dyDescent="0.3"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</row>
    <row r="397" spans="18:30" x14ac:dyDescent="0.3">
      <c r="R397" s="89"/>
      <c r="S397" s="89"/>
      <c r="T397" s="89"/>
      <c r="U397" s="89"/>
      <c r="V397" s="89"/>
      <c r="W397" s="89"/>
      <c r="X397" s="89"/>
      <c r="Y397" s="89"/>
      <c r="Z397" s="89"/>
      <c r="AA397" s="89"/>
      <c r="AB397" s="89"/>
      <c r="AC397" s="89"/>
      <c r="AD397" s="89"/>
    </row>
    <row r="398" spans="18:30" x14ac:dyDescent="0.3">
      <c r="R398" s="89"/>
      <c r="S398" s="89"/>
      <c r="T398" s="89"/>
      <c r="U398" s="89"/>
      <c r="V398" s="89"/>
      <c r="W398" s="89"/>
      <c r="X398" s="89"/>
      <c r="Y398" s="89"/>
      <c r="Z398" s="89"/>
      <c r="AA398" s="89"/>
      <c r="AB398" s="89"/>
      <c r="AC398" s="89"/>
      <c r="AD398" s="89"/>
    </row>
    <row r="399" spans="18:30" x14ac:dyDescent="0.3"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</row>
    <row r="400" spans="18:30" x14ac:dyDescent="0.3">
      <c r="R400" s="89"/>
      <c r="S400" s="89"/>
      <c r="T400" s="89"/>
      <c r="U400" s="89"/>
      <c r="V400" s="89"/>
      <c r="W400" s="89"/>
      <c r="X400" s="89"/>
      <c r="Y400" s="89"/>
      <c r="Z400" s="89"/>
      <c r="AA400" s="89"/>
      <c r="AB400" s="89"/>
      <c r="AC400" s="89"/>
      <c r="AD400" s="89"/>
    </row>
    <row r="401" spans="18:30" x14ac:dyDescent="0.3">
      <c r="R401" s="89"/>
      <c r="S401" s="89"/>
      <c r="T401" s="89"/>
      <c r="U401" s="89"/>
      <c r="V401" s="89"/>
      <c r="W401" s="89"/>
      <c r="X401" s="89"/>
      <c r="Y401" s="89"/>
      <c r="Z401" s="89"/>
      <c r="AA401" s="89"/>
      <c r="AB401" s="89"/>
      <c r="AC401" s="89"/>
      <c r="AD401" s="89"/>
    </row>
    <row r="402" spans="18:30" x14ac:dyDescent="0.3"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</row>
    <row r="403" spans="18:30" x14ac:dyDescent="0.3">
      <c r="R403" s="89"/>
      <c r="S403" s="89"/>
      <c r="T403" s="89"/>
      <c r="U403" s="89"/>
      <c r="V403" s="89"/>
      <c r="W403" s="89"/>
      <c r="X403" s="89"/>
      <c r="Y403" s="89"/>
      <c r="Z403" s="89"/>
      <c r="AA403" s="89"/>
      <c r="AB403" s="89"/>
      <c r="AC403" s="89"/>
      <c r="AD403" s="89"/>
    </row>
    <row r="404" spans="18:30" x14ac:dyDescent="0.3">
      <c r="R404" s="89"/>
      <c r="S404" s="89"/>
      <c r="T404" s="89"/>
      <c r="U404" s="89"/>
      <c r="V404" s="89"/>
      <c r="W404" s="89"/>
      <c r="X404" s="89"/>
      <c r="Y404" s="89"/>
      <c r="Z404" s="89"/>
      <c r="AA404" s="89"/>
      <c r="AB404" s="89"/>
      <c r="AC404" s="89"/>
      <c r="AD404" s="89"/>
    </row>
    <row r="405" spans="18:30" x14ac:dyDescent="0.3">
      <c r="R405" s="89"/>
      <c r="S405" s="89"/>
      <c r="T405" s="89"/>
      <c r="U405" s="89"/>
      <c r="V405" s="89"/>
      <c r="W405" s="89"/>
      <c r="X405" s="89"/>
      <c r="Y405" s="89"/>
      <c r="Z405" s="89"/>
      <c r="AA405" s="89"/>
      <c r="AB405" s="89"/>
      <c r="AC405" s="89"/>
      <c r="AD405" s="89"/>
    </row>
    <row r="406" spans="18:30" x14ac:dyDescent="0.3">
      <c r="R406" s="89"/>
      <c r="S406" s="89"/>
      <c r="T406" s="89"/>
      <c r="U406" s="89"/>
      <c r="V406" s="89"/>
      <c r="W406" s="89"/>
      <c r="X406" s="89"/>
      <c r="Y406" s="89"/>
      <c r="Z406" s="89"/>
      <c r="AA406" s="89"/>
      <c r="AB406" s="89"/>
      <c r="AC406" s="89"/>
      <c r="AD406" s="89"/>
    </row>
    <row r="407" spans="18:30" x14ac:dyDescent="0.3"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</row>
    <row r="408" spans="18:30" x14ac:dyDescent="0.3">
      <c r="R408" s="89"/>
      <c r="S408" s="89"/>
      <c r="T408" s="89"/>
      <c r="U408" s="89"/>
      <c r="V408" s="89"/>
      <c r="W408" s="89"/>
      <c r="X408" s="89"/>
      <c r="Y408" s="89"/>
      <c r="Z408" s="89"/>
      <c r="AA408" s="89"/>
      <c r="AB408" s="89"/>
      <c r="AC408" s="89"/>
      <c r="AD408" s="89"/>
    </row>
    <row r="409" spans="18:30" x14ac:dyDescent="0.3">
      <c r="R409" s="89"/>
      <c r="S409" s="89"/>
      <c r="T409" s="89"/>
      <c r="U409" s="89"/>
      <c r="V409" s="89"/>
      <c r="W409" s="89"/>
      <c r="X409" s="89"/>
      <c r="Y409" s="89"/>
      <c r="Z409" s="89"/>
      <c r="AA409" s="89"/>
      <c r="AB409" s="89"/>
      <c r="AC409" s="89"/>
      <c r="AD409" s="89"/>
    </row>
    <row r="410" spans="18:30" x14ac:dyDescent="0.3"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</row>
    <row r="411" spans="18:30" x14ac:dyDescent="0.3">
      <c r="R411" s="89"/>
      <c r="S411" s="89"/>
      <c r="T411" s="89"/>
      <c r="U411" s="89"/>
      <c r="V411" s="89"/>
      <c r="W411" s="89"/>
      <c r="X411" s="89"/>
      <c r="Y411" s="89"/>
      <c r="Z411" s="89"/>
      <c r="AA411" s="89"/>
      <c r="AB411" s="89"/>
      <c r="AC411" s="89"/>
      <c r="AD411" s="89"/>
    </row>
    <row r="412" spans="18:30" x14ac:dyDescent="0.3">
      <c r="R412" s="89"/>
      <c r="S412" s="89"/>
      <c r="T412" s="89"/>
      <c r="U412" s="89"/>
      <c r="V412" s="89"/>
      <c r="W412" s="89"/>
      <c r="X412" s="89"/>
      <c r="Y412" s="89"/>
      <c r="Z412" s="89"/>
      <c r="AA412" s="89"/>
      <c r="AB412" s="89"/>
      <c r="AC412" s="89"/>
      <c r="AD412" s="89"/>
    </row>
    <row r="413" spans="18:30" x14ac:dyDescent="0.3"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</row>
    <row r="414" spans="18:30" x14ac:dyDescent="0.3">
      <c r="R414" s="89"/>
      <c r="S414" s="89"/>
      <c r="T414" s="89"/>
      <c r="U414" s="89"/>
      <c r="V414" s="89"/>
      <c r="W414" s="89"/>
      <c r="X414" s="89"/>
      <c r="Y414" s="89"/>
      <c r="Z414" s="89"/>
      <c r="AA414" s="89"/>
      <c r="AB414" s="89"/>
      <c r="AC414" s="89"/>
      <c r="AD414" s="89"/>
    </row>
    <row r="415" spans="18:30" x14ac:dyDescent="0.3">
      <c r="R415" s="89"/>
      <c r="S415" s="89"/>
      <c r="T415" s="89"/>
      <c r="U415" s="89"/>
      <c r="V415" s="89"/>
      <c r="W415" s="89"/>
      <c r="X415" s="89"/>
      <c r="Y415" s="89"/>
      <c r="Z415" s="89"/>
      <c r="AA415" s="89"/>
      <c r="AB415" s="89"/>
      <c r="AC415" s="89"/>
      <c r="AD415" s="89"/>
    </row>
    <row r="416" spans="18:30" x14ac:dyDescent="0.3">
      <c r="R416" s="89"/>
      <c r="S416" s="89"/>
      <c r="T416" s="89"/>
      <c r="U416" s="89"/>
      <c r="V416" s="89"/>
      <c r="W416" s="89"/>
      <c r="X416" s="89"/>
      <c r="Y416" s="89"/>
      <c r="Z416" s="89"/>
      <c r="AA416" s="89"/>
      <c r="AB416" s="89"/>
      <c r="AC416" s="89"/>
      <c r="AD416" s="89"/>
    </row>
    <row r="417" spans="18:30" x14ac:dyDescent="0.3">
      <c r="R417" s="89"/>
      <c r="S417" s="89"/>
      <c r="T417" s="89"/>
      <c r="U417" s="89"/>
      <c r="V417" s="89"/>
      <c r="W417" s="89"/>
      <c r="X417" s="89"/>
      <c r="Y417" s="89"/>
      <c r="Z417" s="89"/>
      <c r="AA417" s="89"/>
      <c r="AB417" s="89"/>
      <c r="AC417" s="89"/>
      <c r="AD417" s="89"/>
    </row>
    <row r="418" spans="18:30" x14ac:dyDescent="0.3">
      <c r="R418" s="89"/>
      <c r="S418" s="89"/>
      <c r="T418" s="89"/>
      <c r="U418" s="89"/>
      <c r="V418" s="89"/>
      <c r="W418" s="89"/>
      <c r="X418" s="89"/>
      <c r="Y418" s="89"/>
      <c r="Z418" s="89"/>
      <c r="AA418" s="89"/>
      <c r="AB418" s="89"/>
      <c r="AC418" s="89"/>
      <c r="AD418" s="89"/>
    </row>
    <row r="419" spans="18:30" x14ac:dyDescent="0.3">
      <c r="R419" s="89"/>
      <c r="S419" s="89"/>
      <c r="T419" s="89"/>
      <c r="U419" s="89"/>
      <c r="V419" s="89"/>
      <c r="W419" s="89"/>
      <c r="X419" s="89"/>
      <c r="Y419" s="89"/>
      <c r="Z419" s="89"/>
      <c r="AA419" s="89"/>
      <c r="AB419" s="89"/>
      <c r="AC419" s="89"/>
      <c r="AD419" s="89"/>
    </row>
    <row r="420" spans="18:30" x14ac:dyDescent="0.3">
      <c r="R420" s="89"/>
      <c r="S420" s="89"/>
      <c r="T420" s="89"/>
      <c r="U420" s="89"/>
      <c r="V420" s="89"/>
      <c r="W420" s="89"/>
      <c r="X420" s="89"/>
      <c r="Y420" s="89"/>
      <c r="Z420" s="89"/>
      <c r="AA420" s="89"/>
      <c r="AB420" s="89"/>
      <c r="AC420" s="89"/>
      <c r="AD420" s="89"/>
    </row>
    <row r="421" spans="18:30" x14ac:dyDescent="0.3">
      <c r="R421" s="89"/>
      <c r="S421" s="89"/>
      <c r="T421" s="89"/>
      <c r="U421" s="89"/>
      <c r="V421" s="89"/>
      <c r="W421" s="89"/>
      <c r="X421" s="89"/>
      <c r="Y421" s="89"/>
      <c r="Z421" s="89"/>
      <c r="AA421" s="89"/>
      <c r="AB421" s="89"/>
      <c r="AC421" s="89"/>
      <c r="AD421" s="89"/>
    </row>
    <row r="422" spans="18:30" x14ac:dyDescent="0.3"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</row>
    <row r="423" spans="18:30" x14ac:dyDescent="0.3">
      <c r="R423" s="89"/>
      <c r="S423" s="89"/>
      <c r="T423" s="89"/>
      <c r="U423" s="89"/>
      <c r="V423" s="89"/>
      <c r="W423" s="89"/>
      <c r="X423" s="89"/>
      <c r="Y423" s="89"/>
      <c r="Z423" s="89"/>
      <c r="AA423" s="89"/>
      <c r="AB423" s="89"/>
      <c r="AC423" s="89"/>
      <c r="AD423" s="89"/>
    </row>
    <row r="424" spans="18:30" x14ac:dyDescent="0.3">
      <c r="R424" s="89"/>
      <c r="S424" s="89"/>
      <c r="T424" s="89"/>
      <c r="U424" s="89"/>
      <c r="V424" s="89"/>
      <c r="W424" s="89"/>
      <c r="X424" s="89"/>
      <c r="Y424" s="89"/>
      <c r="Z424" s="89"/>
      <c r="AA424" s="89"/>
      <c r="AB424" s="89"/>
      <c r="AC424" s="89"/>
      <c r="AD424" s="89"/>
    </row>
    <row r="425" spans="18:30" x14ac:dyDescent="0.3">
      <c r="R425" s="89"/>
      <c r="S425" s="89"/>
      <c r="T425" s="89"/>
      <c r="U425" s="89"/>
      <c r="V425" s="89"/>
      <c r="W425" s="89"/>
      <c r="X425" s="89"/>
      <c r="Y425" s="89"/>
      <c r="Z425" s="89"/>
      <c r="AA425" s="89"/>
      <c r="AB425" s="89"/>
      <c r="AC425" s="89"/>
      <c r="AD425" s="89"/>
    </row>
    <row r="426" spans="18:30" x14ac:dyDescent="0.3">
      <c r="R426" s="89"/>
      <c r="S426" s="89"/>
      <c r="T426" s="89"/>
      <c r="U426" s="89"/>
      <c r="V426" s="89"/>
      <c r="W426" s="89"/>
      <c r="X426" s="89"/>
      <c r="Y426" s="89"/>
      <c r="Z426" s="89"/>
      <c r="AA426" s="89"/>
      <c r="AB426" s="89"/>
      <c r="AC426" s="89"/>
      <c r="AD426" s="89"/>
    </row>
    <row r="427" spans="18:30" x14ac:dyDescent="0.3">
      <c r="R427" s="89"/>
      <c r="S427" s="89"/>
      <c r="T427" s="89"/>
      <c r="U427" s="89"/>
      <c r="V427" s="89"/>
      <c r="W427" s="89"/>
      <c r="X427" s="89"/>
      <c r="Y427" s="89"/>
      <c r="Z427" s="89"/>
      <c r="AA427" s="89"/>
      <c r="AB427" s="89"/>
      <c r="AC427" s="89"/>
      <c r="AD427" s="89"/>
    </row>
    <row r="428" spans="18:30" x14ac:dyDescent="0.3"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</row>
    <row r="429" spans="18:30" x14ac:dyDescent="0.3">
      <c r="R429" s="89"/>
      <c r="S429" s="89"/>
      <c r="T429" s="89"/>
      <c r="U429" s="89"/>
      <c r="V429" s="89"/>
      <c r="W429" s="89"/>
      <c r="X429" s="89"/>
      <c r="Y429" s="89"/>
      <c r="Z429" s="89"/>
      <c r="AA429" s="89"/>
      <c r="AB429" s="89"/>
      <c r="AC429" s="89"/>
      <c r="AD429" s="89"/>
    </row>
    <row r="430" spans="18:30" x14ac:dyDescent="0.3">
      <c r="R430" s="89"/>
      <c r="S430" s="89"/>
      <c r="T430" s="89"/>
      <c r="U430" s="89"/>
      <c r="V430" s="89"/>
      <c r="W430" s="89"/>
      <c r="X430" s="89"/>
      <c r="Y430" s="89"/>
      <c r="Z430" s="89"/>
      <c r="AA430" s="89"/>
      <c r="AB430" s="89"/>
      <c r="AC430" s="89"/>
      <c r="AD430" s="89"/>
    </row>
    <row r="431" spans="18:30" x14ac:dyDescent="0.3"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</row>
    <row r="432" spans="18:30" x14ac:dyDescent="0.3">
      <c r="R432" s="89"/>
      <c r="S432" s="89"/>
      <c r="T432" s="89"/>
      <c r="U432" s="89"/>
      <c r="V432" s="89"/>
      <c r="W432" s="89"/>
      <c r="X432" s="89"/>
      <c r="Y432" s="89"/>
      <c r="Z432" s="89"/>
      <c r="AA432" s="89"/>
      <c r="AB432" s="89"/>
      <c r="AC432" s="89"/>
      <c r="AD432" s="89"/>
    </row>
    <row r="433" spans="18:30" x14ac:dyDescent="0.3">
      <c r="R433" s="89"/>
      <c r="S433" s="89"/>
      <c r="T433" s="89"/>
      <c r="U433" s="89"/>
      <c r="V433" s="89"/>
      <c r="W433" s="89"/>
      <c r="X433" s="89"/>
      <c r="Y433" s="89"/>
      <c r="Z433" s="89"/>
      <c r="AA433" s="89"/>
      <c r="AB433" s="89"/>
      <c r="AC433" s="89"/>
      <c r="AD433" s="89"/>
    </row>
    <row r="434" spans="18:30" x14ac:dyDescent="0.3"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</row>
    <row r="435" spans="18:30" x14ac:dyDescent="0.3">
      <c r="R435" s="89"/>
      <c r="S435" s="89"/>
      <c r="T435" s="89"/>
      <c r="U435" s="89"/>
      <c r="V435" s="89"/>
      <c r="W435" s="89"/>
      <c r="X435" s="89"/>
      <c r="Y435" s="89"/>
      <c r="Z435" s="89"/>
      <c r="AA435" s="89"/>
      <c r="AB435" s="89"/>
      <c r="AC435" s="89"/>
      <c r="AD435" s="89"/>
    </row>
    <row r="436" spans="18:30" x14ac:dyDescent="0.3">
      <c r="R436" s="89"/>
      <c r="S436" s="89"/>
      <c r="T436" s="89"/>
      <c r="U436" s="89"/>
      <c r="V436" s="89"/>
      <c r="W436" s="89"/>
      <c r="X436" s="89"/>
      <c r="Y436" s="89"/>
      <c r="Z436" s="89"/>
      <c r="AA436" s="89"/>
      <c r="AB436" s="89"/>
      <c r="AC436" s="89"/>
      <c r="AD436" s="89"/>
    </row>
    <row r="437" spans="18:30" x14ac:dyDescent="0.3"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</row>
    <row r="438" spans="18:30" x14ac:dyDescent="0.3">
      <c r="R438" s="89"/>
      <c r="S438" s="89"/>
      <c r="T438" s="89"/>
      <c r="U438" s="89"/>
      <c r="V438" s="89"/>
      <c r="W438" s="89"/>
      <c r="X438" s="89"/>
      <c r="Y438" s="89"/>
      <c r="Z438" s="89"/>
      <c r="AA438" s="89"/>
      <c r="AB438" s="89"/>
      <c r="AC438" s="89"/>
      <c r="AD438" s="89"/>
    </row>
    <row r="439" spans="18:30" x14ac:dyDescent="0.3">
      <c r="R439" s="89"/>
      <c r="S439" s="89"/>
      <c r="T439" s="89"/>
      <c r="U439" s="89"/>
      <c r="V439" s="89"/>
      <c r="W439" s="89"/>
      <c r="X439" s="89"/>
      <c r="Y439" s="89"/>
      <c r="Z439" s="89"/>
      <c r="AA439" s="89"/>
      <c r="AB439" s="89"/>
      <c r="AC439" s="89"/>
      <c r="AD439" s="89"/>
    </row>
    <row r="440" spans="18:30" x14ac:dyDescent="0.3"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</row>
    <row r="441" spans="18:30" x14ac:dyDescent="0.3">
      <c r="R441" s="89"/>
      <c r="S441" s="89"/>
      <c r="T441" s="89"/>
      <c r="U441" s="89"/>
      <c r="V441" s="89"/>
      <c r="W441" s="89"/>
      <c r="X441" s="89"/>
      <c r="Y441" s="89"/>
      <c r="Z441" s="89"/>
      <c r="AA441" s="89"/>
      <c r="AB441" s="89"/>
      <c r="AC441" s="89"/>
      <c r="AD441" s="89"/>
    </row>
    <row r="442" spans="18:30" x14ac:dyDescent="0.3">
      <c r="R442" s="89"/>
      <c r="S442" s="89"/>
      <c r="T442" s="89"/>
      <c r="U442" s="89"/>
      <c r="V442" s="89"/>
      <c r="W442" s="89"/>
      <c r="X442" s="89"/>
      <c r="Y442" s="89"/>
      <c r="Z442" s="89"/>
      <c r="AA442" s="89"/>
      <c r="AB442" s="89"/>
      <c r="AC442" s="89"/>
      <c r="AD442" s="89"/>
    </row>
    <row r="443" spans="18:30" x14ac:dyDescent="0.3"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</row>
    <row r="444" spans="18:30" x14ac:dyDescent="0.3">
      <c r="R444" s="89"/>
      <c r="S444" s="89"/>
      <c r="T444" s="89"/>
      <c r="U444" s="89"/>
      <c r="V444" s="89"/>
      <c r="W444" s="89"/>
      <c r="X444" s="89"/>
      <c r="Y444" s="89"/>
      <c r="Z444" s="89"/>
      <c r="AA444" s="89"/>
      <c r="AB444" s="89"/>
      <c r="AC444" s="89"/>
      <c r="AD444" s="89"/>
    </row>
    <row r="445" spans="18:30" x14ac:dyDescent="0.3">
      <c r="R445" s="89"/>
      <c r="S445" s="89"/>
      <c r="T445" s="89"/>
      <c r="U445" s="89"/>
      <c r="V445" s="89"/>
      <c r="W445" s="89"/>
      <c r="X445" s="89"/>
      <c r="Y445" s="89"/>
      <c r="Z445" s="89"/>
      <c r="AA445" s="89"/>
      <c r="AB445" s="89"/>
      <c r="AC445" s="89"/>
      <c r="AD445" s="89"/>
    </row>
    <row r="446" spans="18:30" x14ac:dyDescent="0.3">
      <c r="R446" s="89"/>
      <c r="S446" s="89"/>
      <c r="T446" s="89"/>
      <c r="U446" s="89"/>
      <c r="V446" s="89"/>
      <c r="W446" s="89"/>
      <c r="X446" s="89"/>
      <c r="Y446" s="89"/>
      <c r="Z446" s="89"/>
      <c r="AA446" s="89"/>
      <c r="AB446" s="89"/>
      <c r="AC446" s="89"/>
      <c r="AD446" s="89"/>
    </row>
    <row r="447" spans="18:30" x14ac:dyDescent="0.3">
      <c r="R447" s="89"/>
      <c r="S447" s="89"/>
      <c r="T447" s="89"/>
      <c r="U447" s="89"/>
      <c r="V447" s="89"/>
      <c r="W447" s="89"/>
      <c r="X447" s="89"/>
      <c r="Y447" s="89"/>
      <c r="Z447" s="89"/>
      <c r="AA447" s="89"/>
      <c r="AB447" s="89"/>
      <c r="AC447" s="89"/>
      <c r="AD447" s="89"/>
    </row>
    <row r="448" spans="18:30" x14ac:dyDescent="0.3">
      <c r="R448" s="89"/>
      <c r="S448" s="89"/>
      <c r="T448" s="89"/>
      <c r="U448" s="89"/>
      <c r="V448" s="89"/>
      <c r="W448" s="89"/>
      <c r="X448" s="89"/>
      <c r="Y448" s="89"/>
      <c r="Z448" s="89"/>
      <c r="AA448" s="89"/>
      <c r="AB448" s="89"/>
      <c r="AC448" s="89"/>
      <c r="AD448" s="89"/>
    </row>
    <row r="449" spans="18:30" x14ac:dyDescent="0.3">
      <c r="R449" s="89"/>
      <c r="S449" s="89"/>
      <c r="T449" s="89"/>
      <c r="U449" s="89"/>
      <c r="V449" s="89"/>
      <c r="W449" s="89"/>
      <c r="X449" s="89"/>
      <c r="Y449" s="89"/>
      <c r="Z449" s="89"/>
      <c r="AA449" s="89"/>
      <c r="AB449" s="89"/>
      <c r="AC449" s="89"/>
      <c r="AD449" s="89"/>
    </row>
    <row r="450" spans="18:30" x14ac:dyDescent="0.3">
      <c r="R450" s="89"/>
      <c r="S450" s="89"/>
      <c r="T450" s="89"/>
      <c r="U450" s="89"/>
      <c r="V450" s="89"/>
      <c r="W450" s="89"/>
      <c r="X450" s="89"/>
      <c r="Y450" s="89"/>
      <c r="Z450" s="89"/>
      <c r="AA450" s="89"/>
      <c r="AB450" s="89"/>
      <c r="AC450" s="89"/>
      <c r="AD450" s="89"/>
    </row>
    <row r="451" spans="18:30" x14ac:dyDescent="0.3">
      <c r="R451" s="89"/>
      <c r="S451" s="89"/>
      <c r="T451" s="89"/>
      <c r="U451" s="89"/>
      <c r="V451" s="89"/>
      <c r="W451" s="89"/>
      <c r="X451" s="89"/>
      <c r="Y451" s="89"/>
      <c r="Z451" s="89"/>
      <c r="AA451" s="89"/>
      <c r="AB451" s="89"/>
      <c r="AC451" s="89"/>
      <c r="AD451" s="89"/>
    </row>
    <row r="452" spans="18:30" x14ac:dyDescent="0.3">
      <c r="R452" s="89"/>
      <c r="S452" s="89"/>
      <c r="T452" s="89"/>
      <c r="U452" s="89"/>
      <c r="V452" s="89"/>
      <c r="W452" s="89"/>
      <c r="X452" s="89"/>
      <c r="Y452" s="89"/>
      <c r="Z452" s="89"/>
      <c r="AA452" s="89"/>
      <c r="AB452" s="89"/>
      <c r="AC452" s="89"/>
      <c r="AD452" s="89"/>
    </row>
    <row r="453" spans="18:30" x14ac:dyDescent="0.3">
      <c r="R453" s="89"/>
      <c r="S453" s="89"/>
      <c r="T453" s="89"/>
      <c r="U453" s="89"/>
      <c r="V453" s="89"/>
      <c r="W453" s="89"/>
      <c r="X453" s="89"/>
      <c r="Y453" s="89"/>
      <c r="Z453" s="89"/>
      <c r="AA453" s="89"/>
      <c r="AB453" s="89"/>
      <c r="AC453" s="89"/>
      <c r="AD453" s="89"/>
    </row>
    <row r="454" spans="18:30" x14ac:dyDescent="0.3">
      <c r="R454" s="89"/>
      <c r="S454" s="89"/>
      <c r="T454" s="89"/>
      <c r="U454" s="89"/>
      <c r="V454" s="89"/>
      <c r="W454" s="89"/>
      <c r="X454" s="89"/>
      <c r="Y454" s="89"/>
      <c r="Z454" s="89"/>
      <c r="AA454" s="89"/>
      <c r="AB454" s="89"/>
      <c r="AC454" s="89"/>
      <c r="AD454" s="89"/>
    </row>
    <row r="455" spans="18:30" x14ac:dyDescent="0.3">
      <c r="R455" s="89"/>
      <c r="S455" s="89"/>
      <c r="T455" s="89"/>
      <c r="U455" s="89"/>
      <c r="V455" s="89"/>
      <c r="W455" s="89"/>
      <c r="X455" s="89"/>
      <c r="Y455" s="89"/>
      <c r="Z455" s="89"/>
      <c r="AA455" s="89"/>
      <c r="AB455" s="89"/>
      <c r="AC455" s="89"/>
      <c r="AD455" s="89"/>
    </row>
    <row r="456" spans="18:30" x14ac:dyDescent="0.3">
      <c r="R456" s="89"/>
      <c r="S456" s="89"/>
      <c r="T456" s="89"/>
      <c r="U456" s="89"/>
      <c r="V456" s="89"/>
      <c r="W456" s="89"/>
      <c r="X456" s="89"/>
      <c r="Y456" s="89"/>
      <c r="Z456" s="89"/>
      <c r="AA456" s="89"/>
      <c r="AB456" s="89"/>
      <c r="AC456" s="89"/>
      <c r="AD456" s="89"/>
    </row>
    <row r="457" spans="18:30" x14ac:dyDescent="0.3">
      <c r="R457" s="89"/>
      <c r="S457" s="89"/>
      <c r="T457" s="89"/>
      <c r="U457" s="89"/>
      <c r="V457" s="89"/>
      <c r="W457" s="89"/>
      <c r="X457" s="89"/>
      <c r="Y457" s="89"/>
      <c r="Z457" s="89"/>
      <c r="AA457" s="89"/>
      <c r="AB457" s="89"/>
      <c r="AC457" s="89"/>
      <c r="AD457" s="89"/>
    </row>
    <row r="458" spans="18:30" x14ac:dyDescent="0.3">
      <c r="R458" s="89"/>
      <c r="S458" s="89"/>
      <c r="T458" s="89"/>
      <c r="U458" s="89"/>
      <c r="V458" s="89"/>
      <c r="W458" s="89"/>
      <c r="X458" s="89"/>
      <c r="Y458" s="89"/>
      <c r="Z458" s="89"/>
      <c r="AA458" s="89"/>
      <c r="AB458" s="89"/>
      <c r="AC458" s="89"/>
      <c r="AD458" s="89"/>
    </row>
    <row r="459" spans="18:30" x14ac:dyDescent="0.3">
      <c r="R459" s="89"/>
      <c r="S459" s="89"/>
      <c r="T459" s="89"/>
      <c r="U459" s="89"/>
      <c r="V459" s="89"/>
      <c r="W459" s="89"/>
      <c r="X459" s="89"/>
      <c r="Y459" s="89"/>
      <c r="Z459" s="89"/>
      <c r="AA459" s="89"/>
      <c r="AB459" s="89"/>
      <c r="AC459" s="89"/>
      <c r="AD459" s="89"/>
    </row>
    <row r="460" spans="18:30" x14ac:dyDescent="0.3">
      <c r="R460" s="89"/>
      <c r="S460" s="89"/>
      <c r="T460" s="89"/>
      <c r="U460" s="89"/>
      <c r="V460" s="89"/>
      <c r="W460" s="89"/>
      <c r="X460" s="89"/>
      <c r="Y460" s="89"/>
      <c r="Z460" s="89"/>
      <c r="AA460" s="89"/>
      <c r="AB460" s="89"/>
      <c r="AC460" s="89"/>
      <c r="AD460" s="89"/>
    </row>
    <row r="461" spans="18:30" x14ac:dyDescent="0.3">
      <c r="R461" s="89"/>
      <c r="S461" s="89"/>
      <c r="T461" s="89"/>
      <c r="U461" s="89"/>
      <c r="V461" s="89"/>
      <c r="W461" s="89"/>
      <c r="X461" s="89"/>
      <c r="Y461" s="89"/>
      <c r="Z461" s="89"/>
      <c r="AA461" s="89"/>
      <c r="AB461" s="89"/>
      <c r="AC461" s="89"/>
      <c r="AD461" s="89"/>
    </row>
    <row r="462" spans="18:30" x14ac:dyDescent="0.3">
      <c r="R462" s="89"/>
      <c r="S462" s="89"/>
      <c r="T462" s="89"/>
      <c r="U462" s="89"/>
      <c r="V462" s="89"/>
      <c r="W462" s="89"/>
      <c r="X462" s="89"/>
      <c r="Y462" s="89"/>
      <c r="Z462" s="89"/>
      <c r="AA462" s="89"/>
      <c r="AB462" s="89"/>
      <c r="AC462" s="89"/>
      <c r="AD462" s="89"/>
    </row>
    <row r="463" spans="18:30" x14ac:dyDescent="0.3">
      <c r="R463" s="89"/>
      <c r="S463" s="89"/>
      <c r="T463" s="89"/>
      <c r="U463" s="89"/>
      <c r="V463" s="89"/>
      <c r="W463" s="89"/>
      <c r="X463" s="89"/>
      <c r="Y463" s="89"/>
      <c r="Z463" s="89"/>
      <c r="AA463" s="89"/>
      <c r="AB463" s="89"/>
      <c r="AC463" s="89"/>
      <c r="AD463" s="89"/>
    </row>
    <row r="464" spans="18:30" x14ac:dyDescent="0.3">
      <c r="R464" s="89"/>
      <c r="S464" s="89"/>
      <c r="T464" s="89"/>
      <c r="U464" s="89"/>
      <c r="V464" s="89"/>
      <c r="W464" s="89"/>
      <c r="X464" s="89"/>
      <c r="Y464" s="89"/>
      <c r="Z464" s="89"/>
      <c r="AA464" s="89"/>
      <c r="AB464" s="89"/>
      <c r="AC464" s="89"/>
      <c r="AD464" s="89"/>
    </row>
    <row r="465" spans="18:30" x14ac:dyDescent="0.3">
      <c r="R465" s="89"/>
      <c r="S465" s="89"/>
      <c r="T465" s="89"/>
      <c r="U465" s="89"/>
      <c r="V465" s="89"/>
      <c r="W465" s="89"/>
      <c r="X465" s="89"/>
      <c r="Y465" s="89"/>
      <c r="Z465" s="89"/>
      <c r="AA465" s="89"/>
      <c r="AB465" s="89"/>
      <c r="AC465" s="89"/>
      <c r="AD465" s="89"/>
    </row>
    <row r="466" spans="18:30" x14ac:dyDescent="0.3">
      <c r="R466" s="89"/>
      <c r="S466" s="89"/>
      <c r="T466" s="89"/>
      <c r="U466" s="89"/>
      <c r="V466" s="89"/>
      <c r="W466" s="89"/>
      <c r="X466" s="89"/>
      <c r="Y466" s="89"/>
      <c r="Z466" s="89"/>
      <c r="AA466" s="89"/>
      <c r="AB466" s="89"/>
      <c r="AC466" s="89"/>
      <c r="AD466" s="89"/>
    </row>
    <row r="467" spans="18:30" x14ac:dyDescent="0.3">
      <c r="R467" s="89"/>
      <c r="S467" s="89"/>
      <c r="T467" s="89"/>
      <c r="U467" s="89"/>
      <c r="V467" s="89"/>
      <c r="W467" s="89"/>
      <c r="X467" s="89"/>
      <c r="Y467" s="89"/>
      <c r="Z467" s="89"/>
      <c r="AA467" s="89"/>
      <c r="AB467" s="89"/>
      <c r="AC467" s="89"/>
      <c r="AD467" s="89"/>
    </row>
    <row r="468" spans="18:30" x14ac:dyDescent="0.3">
      <c r="R468" s="89"/>
      <c r="S468" s="89"/>
      <c r="T468" s="89"/>
      <c r="U468" s="89"/>
      <c r="V468" s="89"/>
      <c r="W468" s="89"/>
      <c r="X468" s="89"/>
      <c r="Y468" s="89"/>
      <c r="Z468" s="89"/>
      <c r="AA468" s="89"/>
      <c r="AB468" s="89"/>
      <c r="AC468" s="89"/>
      <c r="AD468" s="89"/>
    </row>
    <row r="469" spans="18:30" x14ac:dyDescent="0.3">
      <c r="R469" s="89"/>
      <c r="S469" s="89"/>
      <c r="T469" s="89"/>
      <c r="U469" s="89"/>
      <c r="V469" s="89"/>
      <c r="W469" s="89"/>
      <c r="X469" s="89"/>
      <c r="Y469" s="89"/>
      <c r="Z469" s="89"/>
      <c r="AA469" s="89"/>
      <c r="AB469" s="89"/>
      <c r="AC469" s="89"/>
      <c r="AD469" s="89"/>
    </row>
    <row r="470" spans="18:30" x14ac:dyDescent="0.3">
      <c r="R470" s="89"/>
      <c r="S470" s="89"/>
      <c r="T470" s="89"/>
      <c r="U470" s="89"/>
      <c r="V470" s="89"/>
      <c r="W470" s="89"/>
      <c r="X470" s="89"/>
      <c r="Y470" s="89"/>
      <c r="Z470" s="89"/>
      <c r="AA470" s="89"/>
      <c r="AB470" s="89"/>
      <c r="AC470" s="89"/>
      <c r="AD470" s="89"/>
    </row>
    <row r="471" spans="18:30" x14ac:dyDescent="0.3">
      <c r="R471" s="89"/>
      <c r="S471" s="89"/>
      <c r="T471" s="89"/>
      <c r="U471" s="89"/>
      <c r="V471" s="89"/>
      <c r="W471" s="89"/>
      <c r="X471" s="89"/>
      <c r="Y471" s="89"/>
      <c r="Z471" s="89"/>
      <c r="AA471" s="89"/>
      <c r="AB471" s="89"/>
      <c r="AC471" s="89"/>
      <c r="AD471" s="89"/>
    </row>
    <row r="472" spans="18:30" x14ac:dyDescent="0.3">
      <c r="R472" s="89"/>
      <c r="S472" s="89"/>
      <c r="T472" s="89"/>
      <c r="U472" s="89"/>
      <c r="V472" s="89"/>
      <c r="W472" s="89"/>
      <c r="X472" s="89"/>
      <c r="Y472" s="89"/>
      <c r="Z472" s="89"/>
      <c r="AA472" s="89"/>
      <c r="AB472" s="89"/>
      <c r="AC472" s="89"/>
      <c r="AD472" s="89"/>
    </row>
    <row r="473" spans="18:30" x14ac:dyDescent="0.3">
      <c r="R473" s="89"/>
      <c r="S473" s="89"/>
      <c r="T473" s="89"/>
      <c r="U473" s="89"/>
      <c r="V473" s="89"/>
      <c r="W473" s="89"/>
      <c r="X473" s="89"/>
      <c r="Y473" s="89"/>
      <c r="Z473" s="89"/>
      <c r="AA473" s="89"/>
      <c r="AB473" s="89"/>
      <c r="AC473" s="89"/>
      <c r="AD473" s="89"/>
    </row>
    <row r="474" spans="18:30" x14ac:dyDescent="0.3">
      <c r="R474" s="89"/>
      <c r="S474" s="89"/>
      <c r="T474" s="89"/>
      <c r="U474" s="89"/>
      <c r="V474" s="89"/>
      <c r="W474" s="89"/>
      <c r="X474" s="89"/>
      <c r="Y474" s="89"/>
      <c r="Z474" s="89"/>
      <c r="AA474" s="89"/>
      <c r="AB474" s="89"/>
      <c r="AC474" s="89"/>
      <c r="AD474" s="89"/>
    </row>
    <row r="475" spans="18:30" x14ac:dyDescent="0.3">
      <c r="R475" s="89"/>
      <c r="S475" s="89"/>
      <c r="T475" s="89"/>
      <c r="U475" s="89"/>
      <c r="V475" s="89"/>
      <c r="W475" s="89"/>
      <c r="X475" s="89"/>
      <c r="Y475" s="89"/>
      <c r="Z475" s="89"/>
      <c r="AA475" s="89"/>
      <c r="AB475" s="89"/>
      <c r="AC475" s="89"/>
      <c r="AD475" s="89"/>
    </row>
    <row r="476" spans="18:30" x14ac:dyDescent="0.3">
      <c r="R476" s="89"/>
      <c r="S476" s="89"/>
      <c r="T476" s="89"/>
      <c r="U476" s="89"/>
      <c r="V476" s="89"/>
      <c r="W476" s="89"/>
      <c r="X476" s="89"/>
      <c r="Y476" s="89"/>
      <c r="Z476" s="89"/>
      <c r="AA476" s="89"/>
      <c r="AB476" s="89"/>
      <c r="AC476" s="89"/>
      <c r="AD476" s="89"/>
    </row>
    <row r="477" spans="18:30" x14ac:dyDescent="0.3">
      <c r="R477" s="89"/>
      <c r="S477" s="89"/>
      <c r="T477" s="89"/>
      <c r="U477" s="89"/>
      <c r="V477" s="89"/>
      <c r="W477" s="89"/>
      <c r="X477" s="89"/>
      <c r="Y477" s="89"/>
      <c r="Z477" s="89"/>
      <c r="AA477" s="89"/>
      <c r="AB477" s="89"/>
      <c r="AC477" s="89"/>
      <c r="AD477" s="89"/>
    </row>
    <row r="478" spans="18:30" x14ac:dyDescent="0.3">
      <c r="R478" s="89"/>
      <c r="S478" s="89"/>
      <c r="T478" s="89"/>
      <c r="U478" s="89"/>
      <c r="V478" s="89"/>
      <c r="W478" s="89"/>
      <c r="X478" s="89"/>
      <c r="Y478" s="89"/>
      <c r="Z478" s="89"/>
      <c r="AA478" s="89"/>
      <c r="AB478" s="89"/>
      <c r="AC478" s="89"/>
      <c r="AD478" s="89"/>
    </row>
    <row r="479" spans="18:30" x14ac:dyDescent="0.3">
      <c r="R479" s="89"/>
      <c r="S479" s="89"/>
      <c r="T479" s="89"/>
      <c r="U479" s="89"/>
      <c r="V479" s="89"/>
      <c r="W479" s="89"/>
      <c r="X479" s="89"/>
      <c r="Y479" s="89"/>
      <c r="Z479" s="89"/>
      <c r="AA479" s="89"/>
      <c r="AB479" s="89"/>
      <c r="AC479" s="89"/>
      <c r="AD479" s="89"/>
    </row>
    <row r="480" spans="18:30" x14ac:dyDescent="0.3">
      <c r="R480" s="89"/>
      <c r="S480" s="89"/>
      <c r="T480" s="89"/>
      <c r="U480" s="89"/>
      <c r="V480" s="89"/>
      <c r="W480" s="89"/>
      <c r="X480" s="89"/>
      <c r="Y480" s="89"/>
      <c r="Z480" s="89"/>
      <c r="AA480" s="89"/>
      <c r="AB480" s="89"/>
      <c r="AC480" s="89"/>
      <c r="AD480" s="89"/>
    </row>
    <row r="481" spans="18:30" x14ac:dyDescent="0.3">
      <c r="R481" s="89"/>
      <c r="S481" s="89"/>
      <c r="T481" s="89"/>
      <c r="U481" s="89"/>
      <c r="V481" s="89"/>
      <c r="W481" s="89"/>
      <c r="X481" s="89"/>
      <c r="Y481" s="89"/>
      <c r="Z481" s="89"/>
      <c r="AA481" s="89"/>
      <c r="AB481" s="89"/>
      <c r="AC481" s="89"/>
      <c r="AD481" s="89"/>
    </row>
    <row r="482" spans="18:30" x14ac:dyDescent="0.3">
      <c r="R482" s="89"/>
      <c r="S482" s="89"/>
      <c r="T482" s="89"/>
      <c r="U482" s="89"/>
      <c r="V482" s="89"/>
      <c r="W482" s="89"/>
      <c r="X482" s="89"/>
      <c r="Y482" s="89"/>
      <c r="Z482" s="89"/>
      <c r="AA482" s="89"/>
      <c r="AB482" s="89"/>
      <c r="AC482" s="89"/>
      <c r="AD482" s="89"/>
    </row>
    <row r="483" spans="18:30" x14ac:dyDescent="0.3">
      <c r="R483" s="89"/>
      <c r="S483" s="89"/>
      <c r="T483" s="89"/>
      <c r="U483" s="89"/>
      <c r="V483" s="89"/>
      <c r="W483" s="89"/>
      <c r="X483" s="89"/>
      <c r="Y483" s="89"/>
      <c r="Z483" s="89"/>
      <c r="AA483" s="89"/>
      <c r="AB483" s="89"/>
      <c r="AC483" s="89"/>
      <c r="AD483" s="89"/>
    </row>
    <row r="484" spans="18:30" x14ac:dyDescent="0.3">
      <c r="R484" s="89"/>
      <c r="S484" s="89"/>
      <c r="T484" s="89"/>
      <c r="U484" s="89"/>
      <c r="V484" s="89"/>
      <c r="W484" s="89"/>
      <c r="X484" s="89"/>
      <c r="Y484" s="89"/>
      <c r="Z484" s="89"/>
      <c r="AA484" s="89"/>
      <c r="AB484" s="89"/>
      <c r="AC484" s="89"/>
      <c r="AD484" s="89"/>
    </row>
    <row r="485" spans="18:30" x14ac:dyDescent="0.3">
      <c r="R485" s="89"/>
      <c r="S485" s="89"/>
      <c r="T485" s="89"/>
      <c r="U485" s="89"/>
      <c r="V485" s="89"/>
      <c r="W485" s="89"/>
      <c r="X485" s="89"/>
      <c r="Y485" s="89"/>
      <c r="Z485" s="89"/>
      <c r="AA485" s="89"/>
      <c r="AB485" s="89"/>
      <c r="AC485" s="89"/>
      <c r="AD485" s="89"/>
    </row>
    <row r="486" spans="18:30" x14ac:dyDescent="0.3">
      <c r="R486" s="89"/>
      <c r="S486" s="89"/>
      <c r="T486" s="89"/>
      <c r="U486" s="89"/>
      <c r="V486" s="89"/>
      <c r="W486" s="89"/>
      <c r="X486" s="89"/>
      <c r="Y486" s="89"/>
      <c r="Z486" s="89"/>
      <c r="AA486" s="89"/>
      <c r="AB486" s="89"/>
      <c r="AC486" s="89"/>
      <c r="AD486" s="89"/>
    </row>
    <row r="487" spans="18:30" x14ac:dyDescent="0.3">
      <c r="R487" s="89"/>
      <c r="S487" s="89"/>
      <c r="T487" s="89"/>
      <c r="U487" s="89"/>
      <c r="V487" s="89"/>
      <c r="W487" s="89"/>
      <c r="X487" s="89"/>
      <c r="Y487" s="89"/>
      <c r="Z487" s="89"/>
      <c r="AA487" s="89"/>
      <c r="AB487" s="89"/>
      <c r="AC487" s="89"/>
      <c r="AD487" s="89"/>
    </row>
    <row r="488" spans="18:30" x14ac:dyDescent="0.3">
      <c r="R488" s="89"/>
      <c r="S488" s="89"/>
      <c r="T488" s="89"/>
      <c r="U488" s="89"/>
      <c r="V488" s="89"/>
      <c r="W488" s="89"/>
      <c r="X488" s="89"/>
      <c r="Y488" s="89"/>
      <c r="Z488" s="89"/>
      <c r="AA488" s="89"/>
      <c r="AB488" s="89"/>
      <c r="AC488" s="89"/>
      <c r="AD488" s="89"/>
    </row>
    <row r="489" spans="18:30" x14ac:dyDescent="0.3">
      <c r="R489" s="89"/>
      <c r="S489" s="89"/>
      <c r="T489" s="89"/>
      <c r="U489" s="89"/>
      <c r="V489" s="89"/>
      <c r="W489" s="89"/>
      <c r="X489" s="89"/>
      <c r="Y489" s="89"/>
      <c r="Z489" s="89"/>
      <c r="AA489" s="89"/>
      <c r="AB489" s="89"/>
      <c r="AC489" s="89"/>
      <c r="AD489" s="89"/>
    </row>
    <row r="490" spans="18:30" x14ac:dyDescent="0.3">
      <c r="R490" s="89"/>
      <c r="S490" s="89"/>
      <c r="T490" s="89"/>
      <c r="U490" s="89"/>
      <c r="V490" s="89"/>
      <c r="W490" s="89"/>
      <c r="X490" s="89"/>
      <c r="Y490" s="89"/>
      <c r="Z490" s="89"/>
      <c r="AA490" s="89"/>
      <c r="AB490" s="89"/>
      <c r="AC490" s="89"/>
      <c r="AD490" s="89"/>
    </row>
    <row r="491" spans="18:30" x14ac:dyDescent="0.3">
      <c r="R491" s="89"/>
      <c r="S491" s="89"/>
      <c r="T491" s="89"/>
      <c r="U491" s="89"/>
      <c r="V491" s="89"/>
      <c r="W491" s="89"/>
      <c r="X491" s="89"/>
      <c r="Y491" s="89"/>
      <c r="Z491" s="89"/>
      <c r="AA491" s="89"/>
      <c r="AB491" s="89"/>
      <c r="AC491" s="89"/>
      <c r="AD491" s="89"/>
    </row>
    <row r="492" spans="18:30" x14ac:dyDescent="0.3">
      <c r="R492" s="89"/>
      <c r="S492" s="89"/>
      <c r="T492" s="89"/>
      <c r="U492" s="89"/>
      <c r="V492" s="89"/>
      <c r="W492" s="89"/>
      <c r="X492" s="89"/>
      <c r="Y492" s="89"/>
      <c r="Z492" s="89"/>
      <c r="AA492" s="89"/>
      <c r="AB492" s="89"/>
      <c r="AC492" s="89"/>
      <c r="AD492" s="89"/>
    </row>
    <row r="493" spans="18:30" x14ac:dyDescent="0.3">
      <c r="R493" s="89"/>
      <c r="S493" s="89"/>
      <c r="T493" s="89"/>
      <c r="U493" s="89"/>
      <c r="V493" s="89"/>
      <c r="W493" s="89"/>
      <c r="X493" s="89"/>
      <c r="Y493" s="89"/>
      <c r="Z493" s="89"/>
      <c r="AA493" s="89"/>
      <c r="AB493" s="89"/>
      <c r="AC493" s="89"/>
      <c r="AD493" s="89"/>
    </row>
    <row r="494" spans="18:30" x14ac:dyDescent="0.3">
      <c r="R494" s="89"/>
      <c r="S494" s="89"/>
      <c r="T494" s="89"/>
      <c r="U494" s="89"/>
      <c r="V494" s="89"/>
      <c r="W494" s="89"/>
      <c r="X494" s="89"/>
      <c r="Y494" s="89"/>
      <c r="Z494" s="89"/>
      <c r="AA494" s="89"/>
      <c r="AB494" s="89"/>
      <c r="AC494" s="89"/>
      <c r="AD494" s="89"/>
    </row>
    <row r="495" spans="18:30" x14ac:dyDescent="0.3">
      <c r="R495" s="89"/>
      <c r="S495" s="89"/>
      <c r="T495" s="89"/>
      <c r="U495" s="89"/>
      <c r="V495" s="89"/>
      <c r="W495" s="89"/>
      <c r="X495" s="89"/>
      <c r="Y495" s="89"/>
      <c r="Z495" s="89"/>
      <c r="AA495" s="89"/>
      <c r="AB495" s="89"/>
      <c r="AC495" s="89"/>
      <c r="AD495" s="89"/>
    </row>
    <row r="496" spans="18:30" x14ac:dyDescent="0.3">
      <c r="R496" s="89"/>
      <c r="S496" s="89"/>
      <c r="T496" s="89"/>
      <c r="U496" s="89"/>
      <c r="V496" s="89"/>
      <c r="W496" s="89"/>
      <c r="X496" s="89"/>
      <c r="Y496" s="89"/>
      <c r="Z496" s="89"/>
      <c r="AA496" s="89"/>
      <c r="AB496" s="89"/>
      <c r="AC496" s="89"/>
      <c r="AD496" s="89"/>
    </row>
    <row r="497" spans="18:30" x14ac:dyDescent="0.3">
      <c r="R497" s="89"/>
      <c r="S497" s="89"/>
      <c r="T497" s="89"/>
      <c r="U497" s="89"/>
      <c r="V497" s="89"/>
      <c r="W497" s="89"/>
      <c r="X497" s="89"/>
      <c r="Y497" s="89"/>
      <c r="Z497" s="89"/>
      <c r="AA497" s="89"/>
      <c r="AB497" s="89"/>
      <c r="AC497" s="89"/>
      <c r="AD497" s="89"/>
    </row>
    <row r="498" spans="18:30" x14ac:dyDescent="0.3">
      <c r="R498" s="89"/>
      <c r="S498" s="89"/>
      <c r="T498" s="89"/>
      <c r="U498" s="89"/>
      <c r="V498" s="89"/>
      <c r="W498" s="89"/>
      <c r="X498" s="89"/>
      <c r="Y498" s="89"/>
      <c r="Z498" s="89"/>
      <c r="AA498" s="89"/>
      <c r="AB498" s="89"/>
      <c r="AC498" s="89"/>
      <c r="AD498" s="89"/>
    </row>
    <row r="499" spans="18:30" x14ac:dyDescent="0.3">
      <c r="R499" s="89"/>
      <c r="S499" s="89"/>
      <c r="T499" s="89"/>
      <c r="U499" s="89"/>
      <c r="V499" s="89"/>
      <c r="W499" s="89"/>
      <c r="X499" s="89"/>
      <c r="Y499" s="89"/>
      <c r="Z499" s="89"/>
      <c r="AA499" s="89"/>
      <c r="AB499" s="89"/>
      <c r="AC499" s="89"/>
      <c r="AD499" s="89"/>
    </row>
    <row r="500" spans="18:30" x14ac:dyDescent="0.3">
      <c r="R500" s="89"/>
      <c r="S500" s="89"/>
      <c r="T500" s="89"/>
      <c r="U500" s="89"/>
      <c r="V500" s="89"/>
      <c r="W500" s="89"/>
      <c r="X500" s="89"/>
      <c r="Y500" s="89"/>
      <c r="Z500" s="89"/>
      <c r="AA500" s="89"/>
      <c r="AB500" s="89"/>
      <c r="AC500" s="89"/>
      <c r="AD500" s="89"/>
    </row>
    <row r="501" spans="18:30" x14ac:dyDescent="0.3">
      <c r="R501" s="89"/>
      <c r="S501" s="89"/>
      <c r="T501" s="89"/>
      <c r="U501" s="89"/>
      <c r="V501" s="89"/>
      <c r="W501" s="89"/>
      <c r="X501" s="89"/>
      <c r="Y501" s="89"/>
      <c r="Z501" s="89"/>
      <c r="AA501" s="89"/>
      <c r="AB501" s="89"/>
      <c r="AC501" s="89"/>
      <c r="AD501" s="89"/>
    </row>
    <row r="502" spans="18:30" x14ac:dyDescent="0.3">
      <c r="R502" s="89"/>
      <c r="S502" s="89"/>
      <c r="T502" s="89"/>
      <c r="U502" s="89"/>
      <c r="V502" s="89"/>
      <c r="W502" s="89"/>
      <c r="X502" s="89"/>
      <c r="Y502" s="89"/>
      <c r="Z502" s="89"/>
      <c r="AA502" s="89"/>
      <c r="AB502" s="89"/>
      <c r="AC502" s="89"/>
      <c r="AD502" s="89"/>
    </row>
    <row r="503" spans="18:30" x14ac:dyDescent="0.3">
      <c r="R503" s="89"/>
      <c r="S503" s="89"/>
      <c r="T503" s="89"/>
      <c r="U503" s="89"/>
      <c r="V503" s="89"/>
      <c r="W503" s="89"/>
      <c r="X503" s="89"/>
      <c r="Y503" s="89"/>
      <c r="Z503" s="89"/>
      <c r="AA503" s="89"/>
      <c r="AB503" s="89"/>
      <c r="AC503" s="89"/>
      <c r="AD503" s="89"/>
    </row>
    <row r="504" spans="18:30" x14ac:dyDescent="0.3">
      <c r="R504" s="89"/>
      <c r="S504" s="89"/>
      <c r="T504" s="89"/>
      <c r="U504" s="89"/>
      <c r="V504" s="89"/>
      <c r="W504" s="89"/>
      <c r="X504" s="89"/>
      <c r="Y504" s="89"/>
      <c r="Z504" s="89"/>
      <c r="AA504" s="89"/>
      <c r="AB504" s="89"/>
      <c r="AC504" s="89"/>
      <c r="AD504" s="89"/>
    </row>
    <row r="505" spans="18:30" x14ac:dyDescent="0.3">
      <c r="R505" s="89"/>
      <c r="S505" s="89"/>
      <c r="T505" s="89"/>
      <c r="U505" s="89"/>
      <c r="V505" s="89"/>
      <c r="W505" s="89"/>
      <c r="X505" s="89"/>
      <c r="Y505" s="89"/>
      <c r="Z505" s="89"/>
      <c r="AA505" s="89"/>
      <c r="AB505" s="89"/>
      <c r="AC505" s="89"/>
      <c r="AD505" s="89"/>
    </row>
    <row r="506" spans="18:30" x14ac:dyDescent="0.3">
      <c r="R506" s="89"/>
      <c r="S506" s="89"/>
      <c r="T506" s="89"/>
      <c r="U506" s="89"/>
      <c r="V506" s="89"/>
      <c r="W506" s="89"/>
      <c r="X506" s="89"/>
      <c r="Y506" s="89"/>
      <c r="Z506" s="89"/>
      <c r="AA506" s="89"/>
      <c r="AB506" s="89"/>
      <c r="AC506" s="89"/>
      <c r="AD506" s="89"/>
    </row>
    <row r="507" spans="18:30" x14ac:dyDescent="0.3">
      <c r="R507" s="89"/>
      <c r="S507" s="89"/>
      <c r="T507" s="89"/>
      <c r="U507" s="89"/>
      <c r="V507" s="89"/>
      <c r="W507" s="89"/>
      <c r="X507" s="89"/>
      <c r="Y507" s="89"/>
      <c r="Z507" s="89"/>
      <c r="AA507" s="89"/>
      <c r="AB507" s="89"/>
      <c r="AC507" s="89"/>
      <c r="AD507" s="89"/>
    </row>
    <row r="508" spans="18:30" x14ac:dyDescent="0.3">
      <c r="R508" s="89"/>
      <c r="S508" s="89"/>
      <c r="T508" s="89"/>
      <c r="U508" s="89"/>
      <c r="V508" s="89"/>
      <c r="W508" s="89"/>
      <c r="X508" s="89"/>
      <c r="Y508" s="89"/>
      <c r="Z508" s="89"/>
      <c r="AA508" s="89"/>
      <c r="AB508" s="89"/>
      <c r="AC508" s="89"/>
      <c r="AD508" s="89"/>
    </row>
    <row r="509" spans="18:30" x14ac:dyDescent="0.3">
      <c r="R509" s="89"/>
      <c r="S509" s="89"/>
      <c r="T509" s="89"/>
      <c r="U509" s="89"/>
      <c r="V509" s="89"/>
      <c r="W509" s="89"/>
      <c r="X509" s="89"/>
      <c r="Y509" s="89"/>
      <c r="Z509" s="89"/>
      <c r="AA509" s="89"/>
      <c r="AB509" s="89"/>
      <c r="AC509" s="89"/>
      <c r="AD509" s="89"/>
    </row>
    <row r="510" spans="18:30" x14ac:dyDescent="0.3">
      <c r="R510" s="89"/>
      <c r="S510" s="89"/>
      <c r="T510" s="89"/>
      <c r="U510" s="89"/>
      <c r="V510" s="89"/>
      <c r="W510" s="89"/>
      <c r="X510" s="89"/>
      <c r="Y510" s="89"/>
      <c r="Z510" s="89"/>
      <c r="AA510" s="89"/>
      <c r="AB510" s="89"/>
      <c r="AC510" s="89"/>
      <c r="AD510" s="89"/>
    </row>
    <row r="511" spans="18:30" x14ac:dyDescent="0.3">
      <c r="R511" s="89"/>
      <c r="S511" s="89"/>
      <c r="T511" s="89"/>
      <c r="U511" s="89"/>
      <c r="V511" s="89"/>
      <c r="W511" s="89"/>
      <c r="X511" s="89"/>
      <c r="Y511" s="89"/>
      <c r="Z511" s="89"/>
      <c r="AA511" s="89"/>
      <c r="AB511" s="89"/>
      <c r="AC511" s="89"/>
      <c r="AD511" s="89"/>
    </row>
    <row r="512" spans="18:30" x14ac:dyDescent="0.3">
      <c r="R512" s="89"/>
      <c r="S512" s="89"/>
      <c r="T512" s="89"/>
      <c r="U512" s="89"/>
      <c r="V512" s="89"/>
      <c r="W512" s="89"/>
      <c r="X512" s="89"/>
      <c r="Y512" s="89"/>
      <c r="Z512" s="89"/>
      <c r="AA512" s="89"/>
      <c r="AB512" s="89"/>
      <c r="AC512" s="89"/>
      <c r="AD512" s="89"/>
    </row>
    <row r="513" spans="18:30" x14ac:dyDescent="0.3">
      <c r="R513" s="89"/>
      <c r="S513" s="89"/>
      <c r="T513" s="89"/>
      <c r="U513" s="89"/>
      <c r="V513" s="89"/>
      <c r="W513" s="89"/>
      <c r="X513" s="89"/>
      <c r="Y513" s="89"/>
      <c r="Z513" s="89"/>
      <c r="AA513" s="89"/>
      <c r="AB513" s="89"/>
      <c r="AC513" s="89"/>
      <c r="AD513" s="89"/>
    </row>
    <row r="514" spans="18:30" x14ac:dyDescent="0.3">
      <c r="R514" s="89"/>
      <c r="S514" s="89"/>
      <c r="T514" s="89"/>
      <c r="U514" s="89"/>
      <c r="V514" s="89"/>
      <c r="W514" s="89"/>
      <c r="X514" s="89"/>
      <c r="Y514" s="89"/>
      <c r="Z514" s="89"/>
      <c r="AA514" s="89"/>
      <c r="AB514" s="89"/>
      <c r="AC514" s="89"/>
      <c r="AD514" s="89"/>
    </row>
    <row r="515" spans="18:30" x14ac:dyDescent="0.3">
      <c r="R515" s="89"/>
      <c r="S515" s="89"/>
      <c r="T515" s="89"/>
      <c r="U515" s="89"/>
      <c r="V515" s="89"/>
      <c r="W515" s="89"/>
      <c r="X515" s="89"/>
      <c r="Y515" s="89"/>
      <c r="Z515" s="89"/>
      <c r="AA515" s="89"/>
      <c r="AB515" s="89"/>
      <c r="AC515" s="89"/>
      <c r="AD515" s="89"/>
    </row>
    <row r="516" spans="18:30" x14ac:dyDescent="0.3">
      <c r="R516" s="89"/>
      <c r="S516" s="89"/>
      <c r="T516" s="89"/>
      <c r="U516" s="89"/>
      <c r="V516" s="89"/>
      <c r="W516" s="89"/>
      <c r="X516" s="89"/>
      <c r="Y516" s="89"/>
      <c r="Z516" s="89"/>
      <c r="AA516" s="89"/>
      <c r="AB516" s="89"/>
      <c r="AC516" s="89"/>
      <c r="AD516" s="89"/>
    </row>
    <row r="517" spans="18:30" x14ac:dyDescent="0.3">
      <c r="R517" s="89"/>
      <c r="S517" s="89"/>
      <c r="T517" s="89"/>
      <c r="U517" s="89"/>
      <c r="V517" s="89"/>
      <c r="W517" s="89"/>
      <c r="X517" s="89"/>
      <c r="Y517" s="89"/>
      <c r="Z517" s="89"/>
      <c r="AA517" s="89"/>
      <c r="AB517" s="89"/>
      <c r="AC517" s="89"/>
      <c r="AD517" s="89"/>
    </row>
    <row r="518" spans="18:30" x14ac:dyDescent="0.3">
      <c r="R518" s="89"/>
      <c r="S518" s="89"/>
      <c r="T518" s="89"/>
      <c r="U518" s="89"/>
      <c r="V518" s="89"/>
      <c r="W518" s="89"/>
      <c r="X518" s="89"/>
      <c r="Y518" s="89"/>
      <c r="Z518" s="89"/>
      <c r="AA518" s="89"/>
      <c r="AB518" s="89"/>
      <c r="AC518" s="89"/>
      <c r="AD518" s="89"/>
    </row>
    <row r="519" spans="18:30" x14ac:dyDescent="0.3">
      <c r="R519" s="89"/>
      <c r="S519" s="89"/>
      <c r="T519" s="89"/>
      <c r="U519" s="89"/>
      <c r="V519" s="89"/>
      <c r="W519" s="89"/>
      <c r="X519" s="89"/>
      <c r="Y519" s="89"/>
      <c r="Z519" s="89"/>
      <c r="AA519" s="89"/>
      <c r="AB519" s="89"/>
      <c r="AC519" s="89"/>
      <c r="AD519" s="89"/>
    </row>
    <row r="520" spans="18:30" x14ac:dyDescent="0.3">
      <c r="R520" s="89"/>
      <c r="S520" s="89"/>
      <c r="T520" s="89"/>
      <c r="U520" s="89"/>
      <c r="V520" s="89"/>
      <c r="W520" s="89"/>
      <c r="X520" s="89"/>
      <c r="Y520" s="89"/>
      <c r="Z520" s="89"/>
      <c r="AA520" s="89"/>
      <c r="AB520" s="89"/>
      <c r="AC520" s="89"/>
      <c r="AD520" s="89"/>
    </row>
    <row r="521" spans="18:30" x14ac:dyDescent="0.3">
      <c r="R521" s="89"/>
      <c r="S521" s="89"/>
      <c r="T521" s="89"/>
      <c r="U521" s="89"/>
      <c r="V521" s="89"/>
      <c r="W521" s="89"/>
      <c r="X521" s="89"/>
      <c r="Y521" s="89"/>
      <c r="Z521" s="89"/>
      <c r="AA521" s="89"/>
      <c r="AB521" s="89"/>
      <c r="AC521" s="89"/>
      <c r="AD521" s="89"/>
    </row>
    <row r="522" spans="18:30" x14ac:dyDescent="0.3">
      <c r="R522" s="89"/>
      <c r="S522" s="89"/>
      <c r="T522" s="89"/>
      <c r="U522" s="89"/>
      <c r="V522" s="89"/>
      <c r="W522" s="89"/>
      <c r="X522" s="89"/>
      <c r="Y522" s="89"/>
      <c r="Z522" s="89"/>
      <c r="AA522" s="89"/>
      <c r="AB522" s="89"/>
      <c r="AC522" s="89"/>
      <c r="AD522" s="89"/>
    </row>
    <row r="523" spans="18:30" x14ac:dyDescent="0.3">
      <c r="R523" s="89"/>
      <c r="S523" s="89"/>
      <c r="T523" s="89"/>
      <c r="U523" s="89"/>
      <c r="V523" s="89"/>
      <c r="W523" s="89"/>
      <c r="X523" s="89"/>
      <c r="Y523" s="89"/>
      <c r="Z523" s="89"/>
      <c r="AA523" s="89"/>
      <c r="AB523" s="89"/>
      <c r="AC523" s="89"/>
      <c r="AD523" s="89"/>
    </row>
    <row r="524" spans="18:30" x14ac:dyDescent="0.3">
      <c r="R524" s="89"/>
      <c r="S524" s="89"/>
      <c r="T524" s="89"/>
      <c r="U524" s="89"/>
      <c r="V524" s="89"/>
      <c r="W524" s="89"/>
      <c r="X524" s="89"/>
      <c r="Y524" s="89"/>
      <c r="Z524" s="89"/>
      <c r="AA524" s="89"/>
      <c r="AB524" s="89"/>
      <c r="AC524" s="89"/>
      <c r="AD524" s="89"/>
    </row>
    <row r="525" spans="18:30" x14ac:dyDescent="0.3">
      <c r="R525" s="89"/>
      <c r="S525" s="89"/>
      <c r="T525" s="89"/>
      <c r="U525" s="89"/>
      <c r="V525" s="89"/>
      <c r="W525" s="89"/>
      <c r="X525" s="89"/>
      <c r="Y525" s="89"/>
      <c r="Z525" s="89"/>
      <c r="AA525" s="89"/>
      <c r="AB525" s="89"/>
      <c r="AC525" s="89"/>
      <c r="AD525" s="89"/>
    </row>
    <row r="526" spans="18:30" x14ac:dyDescent="0.3">
      <c r="R526" s="89"/>
      <c r="S526" s="89"/>
      <c r="T526" s="89"/>
      <c r="U526" s="89"/>
      <c r="V526" s="89"/>
      <c r="W526" s="89"/>
      <c r="X526" s="89"/>
      <c r="Y526" s="89"/>
      <c r="Z526" s="89"/>
      <c r="AA526" s="89"/>
      <c r="AB526" s="89"/>
      <c r="AC526" s="89"/>
      <c r="AD526" s="89"/>
    </row>
    <row r="527" spans="18:30" x14ac:dyDescent="0.3">
      <c r="R527" s="89"/>
      <c r="S527" s="89"/>
      <c r="T527" s="89"/>
      <c r="U527" s="89"/>
      <c r="V527" s="89"/>
      <c r="W527" s="89"/>
      <c r="X527" s="89"/>
      <c r="Y527" s="89"/>
      <c r="Z527" s="89"/>
      <c r="AA527" s="89"/>
      <c r="AB527" s="89"/>
      <c r="AC527" s="89"/>
      <c r="AD527" s="89"/>
    </row>
    <row r="528" spans="18:30" x14ac:dyDescent="0.3">
      <c r="R528" s="89"/>
      <c r="S528" s="89"/>
      <c r="T528" s="89"/>
      <c r="U528" s="89"/>
      <c r="V528" s="89"/>
      <c r="W528" s="89"/>
      <c r="X528" s="89"/>
      <c r="Y528" s="89"/>
      <c r="Z528" s="89"/>
      <c r="AA528" s="89"/>
      <c r="AB528" s="89"/>
      <c r="AC528" s="89"/>
      <c r="AD528" s="89"/>
    </row>
    <row r="529" spans="18:30" x14ac:dyDescent="0.3">
      <c r="R529" s="89"/>
      <c r="S529" s="89"/>
      <c r="T529" s="89"/>
      <c r="U529" s="89"/>
      <c r="V529" s="89"/>
      <c r="W529" s="89"/>
      <c r="X529" s="89"/>
      <c r="Y529" s="89"/>
      <c r="Z529" s="89"/>
      <c r="AA529" s="89"/>
      <c r="AB529" s="89"/>
      <c r="AC529" s="89"/>
      <c r="AD529" s="89"/>
    </row>
    <row r="530" spans="18:30" x14ac:dyDescent="0.3">
      <c r="R530" s="89"/>
      <c r="S530" s="89"/>
      <c r="T530" s="89"/>
      <c r="U530" s="89"/>
      <c r="V530" s="89"/>
      <c r="W530" s="89"/>
      <c r="X530" s="89"/>
      <c r="Y530" s="89"/>
      <c r="Z530" s="89"/>
      <c r="AA530" s="89"/>
      <c r="AB530" s="89"/>
      <c r="AC530" s="89"/>
      <c r="AD530" s="89"/>
    </row>
    <row r="531" spans="18:30" x14ac:dyDescent="0.3">
      <c r="R531" s="89"/>
      <c r="S531" s="89"/>
      <c r="T531" s="89"/>
      <c r="U531" s="89"/>
      <c r="V531" s="89"/>
      <c r="W531" s="89"/>
      <c r="X531" s="89"/>
      <c r="Y531" s="89"/>
      <c r="Z531" s="89"/>
      <c r="AA531" s="89"/>
      <c r="AB531" s="89"/>
      <c r="AC531" s="89"/>
      <c r="AD531" s="89"/>
    </row>
    <row r="532" spans="18:30" x14ac:dyDescent="0.3">
      <c r="R532" s="89"/>
      <c r="S532" s="89"/>
      <c r="T532" s="89"/>
      <c r="U532" s="89"/>
      <c r="V532" s="89"/>
      <c r="W532" s="89"/>
      <c r="X532" s="89"/>
      <c r="Y532" s="89"/>
      <c r="Z532" s="89"/>
      <c r="AA532" s="89"/>
      <c r="AB532" s="89"/>
      <c r="AC532" s="89"/>
      <c r="AD532" s="89"/>
    </row>
    <row r="533" spans="18:30" x14ac:dyDescent="0.3">
      <c r="R533" s="89"/>
      <c r="S533" s="89"/>
      <c r="T533" s="89"/>
      <c r="U533" s="89"/>
      <c r="V533" s="89"/>
      <c r="W533" s="89"/>
      <c r="X533" s="89"/>
      <c r="Y533" s="89"/>
      <c r="Z533" s="89"/>
      <c r="AA533" s="89"/>
      <c r="AB533" s="89"/>
      <c r="AC533" s="89"/>
      <c r="AD533" s="89"/>
    </row>
    <row r="534" spans="18:30" x14ac:dyDescent="0.3">
      <c r="R534" s="89"/>
      <c r="S534" s="89"/>
      <c r="T534" s="89"/>
      <c r="U534" s="89"/>
      <c r="V534" s="89"/>
      <c r="W534" s="89"/>
      <c r="X534" s="89"/>
      <c r="Y534" s="89"/>
      <c r="Z534" s="89"/>
      <c r="AA534" s="89"/>
      <c r="AB534" s="89"/>
      <c r="AC534" s="89"/>
      <c r="AD534" s="89"/>
    </row>
    <row r="535" spans="18:30" x14ac:dyDescent="0.3">
      <c r="R535" s="89"/>
      <c r="S535" s="89"/>
      <c r="T535" s="89"/>
      <c r="U535" s="89"/>
      <c r="V535" s="89"/>
      <c r="W535" s="89"/>
      <c r="X535" s="89"/>
      <c r="Y535" s="89"/>
      <c r="Z535" s="89"/>
      <c r="AA535" s="89"/>
      <c r="AB535" s="89"/>
      <c r="AC535" s="89"/>
      <c r="AD535" s="89"/>
    </row>
    <row r="536" spans="18:30" x14ac:dyDescent="0.3">
      <c r="R536" s="89"/>
      <c r="S536" s="89"/>
      <c r="T536" s="89"/>
      <c r="U536" s="89"/>
      <c r="V536" s="89"/>
      <c r="W536" s="89"/>
      <c r="X536" s="89"/>
      <c r="Y536" s="89"/>
      <c r="Z536" s="89"/>
      <c r="AA536" s="89"/>
      <c r="AB536" s="89"/>
      <c r="AC536" s="89"/>
      <c r="AD536" s="89"/>
    </row>
    <row r="537" spans="18:30" x14ac:dyDescent="0.3">
      <c r="R537" s="89"/>
      <c r="S537" s="89"/>
      <c r="T537" s="89"/>
      <c r="U537" s="89"/>
      <c r="V537" s="89"/>
      <c r="W537" s="89"/>
      <c r="X537" s="89"/>
      <c r="Y537" s="89"/>
      <c r="Z537" s="89"/>
      <c r="AA537" s="89"/>
      <c r="AB537" s="89"/>
      <c r="AC537" s="89"/>
      <c r="AD537" s="89"/>
    </row>
    <row r="538" spans="18:30" x14ac:dyDescent="0.3">
      <c r="R538" s="89"/>
      <c r="S538" s="89"/>
      <c r="T538" s="89"/>
      <c r="U538" s="89"/>
      <c r="V538" s="89"/>
      <c r="W538" s="89"/>
      <c r="X538" s="89"/>
      <c r="Y538" s="89"/>
      <c r="Z538" s="89"/>
      <c r="AA538" s="89"/>
      <c r="AB538" s="89"/>
      <c r="AC538" s="89"/>
      <c r="AD538" s="89"/>
    </row>
    <row r="539" spans="18:30" x14ac:dyDescent="0.3">
      <c r="R539" s="89"/>
      <c r="S539" s="89"/>
      <c r="T539" s="89"/>
      <c r="U539" s="89"/>
      <c r="V539" s="89"/>
      <c r="W539" s="89"/>
      <c r="X539" s="89"/>
      <c r="Y539" s="89"/>
      <c r="Z539" s="89"/>
      <c r="AA539" s="89"/>
      <c r="AB539" s="89"/>
      <c r="AC539" s="89"/>
      <c r="AD539" s="89"/>
    </row>
    <row r="540" spans="18:30" x14ac:dyDescent="0.3">
      <c r="R540" s="89"/>
      <c r="S540" s="89"/>
      <c r="T540" s="89"/>
      <c r="U540" s="89"/>
      <c r="V540" s="89"/>
      <c r="W540" s="89"/>
      <c r="X540" s="89"/>
      <c r="Y540" s="89"/>
      <c r="Z540" s="89"/>
      <c r="AA540" s="89"/>
      <c r="AB540" s="89"/>
      <c r="AC540" s="89"/>
      <c r="AD540" s="89"/>
    </row>
    <row r="541" spans="18:30" x14ac:dyDescent="0.3">
      <c r="R541" s="89"/>
      <c r="S541" s="89"/>
      <c r="T541" s="89"/>
      <c r="U541" s="89"/>
      <c r="V541" s="89"/>
      <c r="W541" s="89"/>
      <c r="X541" s="89"/>
      <c r="Y541" s="89"/>
      <c r="Z541" s="89"/>
      <c r="AA541" s="89"/>
      <c r="AB541" s="89"/>
      <c r="AC541" s="89"/>
      <c r="AD541" s="89"/>
    </row>
    <row r="542" spans="18:30" x14ac:dyDescent="0.3">
      <c r="R542" s="89"/>
      <c r="S542" s="89"/>
      <c r="T542" s="89"/>
      <c r="U542" s="89"/>
      <c r="V542" s="89"/>
      <c r="W542" s="89"/>
      <c r="X542" s="89"/>
      <c r="Y542" s="89"/>
      <c r="Z542" s="89"/>
      <c r="AA542" s="89"/>
      <c r="AB542" s="89"/>
      <c r="AC542" s="89"/>
      <c r="AD542" s="89"/>
    </row>
    <row r="543" spans="18:30" x14ac:dyDescent="0.3">
      <c r="R543" s="89"/>
      <c r="S543" s="89"/>
      <c r="T543" s="89"/>
      <c r="U543" s="89"/>
      <c r="V543" s="89"/>
      <c r="W543" s="89"/>
      <c r="X543" s="89"/>
      <c r="Y543" s="89"/>
      <c r="Z543" s="89"/>
      <c r="AA543" s="89"/>
      <c r="AB543" s="89"/>
      <c r="AC543" s="89"/>
      <c r="AD543" s="89"/>
    </row>
    <row r="544" spans="18:30" x14ac:dyDescent="0.3">
      <c r="R544" s="89"/>
      <c r="S544" s="89"/>
      <c r="T544" s="89"/>
      <c r="U544" s="89"/>
      <c r="V544" s="89"/>
      <c r="W544" s="89"/>
      <c r="X544" s="89"/>
      <c r="Y544" s="89"/>
      <c r="Z544" s="89"/>
      <c r="AA544" s="89"/>
      <c r="AB544" s="89"/>
      <c r="AC544" s="89"/>
      <c r="AD544" s="89"/>
    </row>
    <row r="545" spans="18:30" x14ac:dyDescent="0.3">
      <c r="R545" s="89"/>
      <c r="S545" s="89"/>
      <c r="T545" s="89"/>
      <c r="U545" s="89"/>
      <c r="V545" s="89"/>
      <c r="W545" s="89"/>
      <c r="X545" s="89"/>
      <c r="Y545" s="89"/>
      <c r="Z545" s="89"/>
      <c r="AA545" s="89"/>
      <c r="AB545" s="89"/>
      <c r="AC545" s="89"/>
      <c r="AD545" s="89"/>
    </row>
    <row r="546" spans="18:30" x14ac:dyDescent="0.3">
      <c r="R546" s="89"/>
      <c r="S546" s="89"/>
      <c r="T546" s="89"/>
      <c r="U546" s="89"/>
      <c r="V546" s="89"/>
      <c r="W546" s="89"/>
      <c r="X546" s="89"/>
      <c r="Y546" s="89"/>
      <c r="Z546" s="89"/>
      <c r="AA546" s="89"/>
      <c r="AB546" s="89"/>
      <c r="AC546" s="89"/>
      <c r="AD546" s="89"/>
    </row>
    <row r="547" spans="18:30" x14ac:dyDescent="0.3">
      <c r="R547" s="89"/>
      <c r="S547" s="89"/>
      <c r="T547" s="89"/>
      <c r="U547" s="89"/>
      <c r="V547" s="89"/>
      <c r="W547" s="89"/>
      <c r="X547" s="89"/>
      <c r="Y547" s="89"/>
      <c r="Z547" s="89"/>
      <c r="AA547" s="89"/>
      <c r="AB547" s="89"/>
      <c r="AC547" s="89"/>
      <c r="AD547" s="89"/>
    </row>
    <row r="548" spans="18:30" x14ac:dyDescent="0.3">
      <c r="R548" s="89"/>
      <c r="S548" s="89"/>
      <c r="T548" s="89"/>
      <c r="U548" s="89"/>
      <c r="V548" s="89"/>
      <c r="W548" s="89"/>
      <c r="X548" s="89"/>
      <c r="Y548" s="89"/>
      <c r="Z548" s="89"/>
      <c r="AA548" s="89"/>
      <c r="AB548" s="89"/>
      <c r="AC548" s="89"/>
      <c r="AD548" s="89"/>
    </row>
    <row r="549" spans="18:30" x14ac:dyDescent="0.3">
      <c r="R549" s="89"/>
      <c r="S549" s="89"/>
      <c r="T549" s="89"/>
      <c r="U549" s="89"/>
      <c r="V549" s="89"/>
      <c r="W549" s="89"/>
      <c r="X549" s="89"/>
      <c r="Y549" s="89"/>
      <c r="Z549" s="89"/>
      <c r="AA549" s="89"/>
      <c r="AB549" s="89"/>
      <c r="AC549" s="89"/>
      <c r="AD549" s="89"/>
    </row>
    <row r="550" spans="18:30" x14ac:dyDescent="0.3">
      <c r="R550" s="89"/>
      <c r="S550" s="89"/>
      <c r="T550" s="89"/>
      <c r="U550" s="89"/>
      <c r="V550" s="89"/>
      <c r="W550" s="89"/>
      <c r="X550" s="89"/>
      <c r="Y550" s="89"/>
      <c r="Z550" s="89"/>
      <c r="AA550" s="89"/>
      <c r="AB550" s="89"/>
      <c r="AC550" s="89"/>
      <c r="AD550" s="89"/>
    </row>
    <row r="551" spans="18:30" x14ac:dyDescent="0.3">
      <c r="R551" s="89"/>
      <c r="S551" s="89"/>
      <c r="T551" s="89"/>
      <c r="U551" s="89"/>
      <c r="V551" s="89"/>
      <c r="W551" s="89"/>
      <c r="X551" s="89"/>
      <c r="Y551" s="89"/>
      <c r="Z551" s="89"/>
      <c r="AA551" s="89"/>
      <c r="AB551" s="89"/>
      <c r="AC551" s="89"/>
      <c r="AD551" s="89"/>
    </row>
    <row r="552" spans="18:30" x14ac:dyDescent="0.3">
      <c r="R552" s="89"/>
      <c r="S552" s="89"/>
      <c r="T552" s="89"/>
      <c r="U552" s="89"/>
      <c r="V552" s="89"/>
      <c r="W552" s="89"/>
      <c r="X552" s="89"/>
      <c r="Y552" s="89"/>
      <c r="Z552" s="89"/>
      <c r="AA552" s="89"/>
      <c r="AB552" s="89"/>
      <c r="AC552" s="89"/>
      <c r="AD552" s="89"/>
    </row>
    <row r="553" spans="18:30" x14ac:dyDescent="0.3">
      <c r="R553" s="89"/>
      <c r="S553" s="89"/>
      <c r="T553" s="89"/>
      <c r="U553" s="89"/>
      <c r="V553" s="89"/>
      <c r="W553" s="89"/>
      <c r="X553" s="89"/>
      <c r="Y553" s="89"/>
      <c r="Z553" s="89"/>
      <c r="AA553" s="89"/>
      <c r="AB553" s="89"/>
      <c r="AC553" s="89"/>
      <c r="AD553" s="89"/>
    </row>
    <row r="554" spans="18:30" x14ac:dyDescent="0.3">
      <c r="R554" s="89"/>
      <c r="S554" s="89"/>
      <c r="T554" s="89"/>
      <c r="U554" s="89"/>
      <c r="V554" s="89"/>
      <c r="W554" s="89"/>
      <c r="X554" s="89"/>
      <c r="Y554" s="89"/>
      <c r="Z554" s="89"/>
      <c r="AA554" s="89"/>
      <c r="AB554" s="89"/>
      <c r="AC554" s="89"/>
      <c r="AD554" s="89"/>
    </row>
    <row r="555" spans="18:30" x14ac:dyDescent="0.3">
      <c r="R555" s="89"/>
      <c r="S555" s="89"/>
      <c r="T555" s="89"/>
      <c r="U555" s="89"/>
      <c r="V555" s="89"/>
      <c r="W555" s="89"/>
      <c r="X555" s="89"/>
      <c r="Y555" s="89"/>
      <c r="Z555" s="89"/>
      <c r="AA555" s="89"/>
      <c r="AB555" s="89"/>
      <c r="AC555" s="89"/>
      <c r="AD555" s="89"/>
    </row>
    <row r="556" spans="18:30" x14ac:dyDescent="0.3">
      <c r="R556" s="89"/>
      <c r="S556" s="89"/>
      <c r="T556" s="89"/>
      <c r="U556" s="89"/>
      <c r="V556" s="89"/>
      <c r="W556" s="89"/>
      <c r="X556" s="89"/>
      <c r="Y556" s="89"/>
      <c r="Z556" s="89"/>
      <c r="AA556" s="89"/>
      <c r="AB556" s="89"/>
      <c r="AC556" s="89"/>
      <c r="AD556" s="89"/>
    </row>
    <row r="557" spans="18:30" x14ac:dyDescent="0.3">
      <c r="R557" s="89"/>
      <c r="S557" s="89"/>
      <c r="T557" s="89"/>
      <c r="U557" s="89"/>
      <c r="V557" s="89"/>
      <c r="W557" s="89"/>
      <c r="X557" s="89"/>
      <c r="Y557" s="89"/>
      <c r="Z557" s="89"/>
      <c r="AA557" s="89"/>
      <c r="AB557" s="89"/>
      <c r="AC557" s="89"/>
      <c r="AD557" s="89"/>
    </row>
    <row r="558" spans="18:30" x14ac:dyDescent="0.3">
      <c r="R558" s="89"/>
      <c r="S558" s="89"/>
      <c r="T558" s="89"/>
      <c r="U558" s="89"/>
      <c r="V558" s="89"/>
      <c r="W558" s="89"/>
      <c r="X558" s="89"/>
      <c r="Y558" s="89"/>
      <c r="Z558" s="89"/>
      <c r="AA558" s="89"/>
      <c r="AB558" s="89"/>
      <c r="AC558" s="89"/>
      <c r="AD558" s="89"/>
    </row>
    <row r="559" spans="18:30" x14ac:dyDescent="0.3">
      <c r="R559" s="89"/>
      <c r="S559" s="89"/>
      <c r="T559" s="89"/>
      <c r="U559" s="89"/>
      <c r="V559" s="89"/>
      <c r="W559" s="89"/>
      <c r="X559" s="89"/>
      <c r="Y559" s="89"/>
      <c r="Z559" s="89"/>
      <c r="AA559" s="89"/>
      <c r="AB559" s="89"/>
      <c r="AC559" s="89"/>
      <c r="AD559" s="89"/>
    </row>
    <row r="560" spans="18:30" x14ac:dyDescent="0.3">
      <c r="R560" s="89"/>
      <c r="S560" s="89"/>
      <c r="T560" s="89"/>
      <c r="U560" s="89"/>
      <c r="V560" s="89"/>
      <c r="W560" s="89"/>
      <c r="X560" s="89"/>
      <c r="Y560" s="89"/>
      <c r="Z560" s="89"/>
      <c r="AA560" s="89"/>
      <c r="AB560" s="89"/>
      <c r="AC560" s="89"/>
      <c r="AD560" s="89"/>
    </row>
    <row r="561" spans="18:30" x14ac:dyDescent="0.3">
      <c r="R561" s="89"/>
      <c r="S561" s="89"/>
      <c r="T561" s="89"/>
      <c r="U561" s="89"/>
      <c r="V561" s="89"/>
      <c r="W561" s="89"/>
      <c r="X561" s="89"/>
      <c r="Y561" s="89"/>
      <c r="Z561" s="89"/>
      <c r="AA561" s="89"/>
      <c r="AB561" s="89"/>
      <c r="AC561" s="89"/>
      <c r="AD561" s="89"/>
    </row>
    <row r="562" spans="18:30" x14ac:dyDescent="0.3">
      <c r="R562" s="89"/>
      <c r="S562" s="89"/>
      <c r="T562" s="89"/>
      <c r="U562" s="89"/>
      <c r="V562" s="89"/>
      <c r="W562" s="89"/>
      <c r="X562" s="89"/>
      <c r="Y562" s="89"/>
      <c r="Z562" s="89"/>
      <c r="AA562" s="89"/>
      <c r="AB562" s="89"/>
      <c r="AC562" s="89"/>
      <c r="AD562" s="89"/>
    </row>
    <row r="563" spans="18:30" x14ac:dyDescent="0.3">
      <c r="R563" s="89"/>
      <c r="S563" s="89"/>
      <c r="T563" s="89"/>
      <c r="U563" s="89"/>
      <c r="V563" s="89"/>
      <c r="W563" s="89"/>
      <c r="X563" s="89"/>
      <c r="Y563" s="89"/>
      <c r="Z563" s="89"/>
      <c r="AA563" s="89"/>
      <c r="AB563" s="89"/>
      <c r="AC563" s="89"/>
      <c r="AD563" s="89"/>
    </row>
    <row r="564" spans="18:30" x14ac:dyDescent="0.3">
      <c r="R564" s="89"/>
      <c r="S564" s="89"/>
      <c r="T564" s="89"/>
      <c r="U564" s="89"/>
      <c r="V564" s="89"/>
      <c r="W564" s="89"/>
      <c r="X564" s="89"/>
      <c r="Y564" s="89"/>
      <c r="Z564" s="89"/>
      <c r="AA564" s="89"/>
      <c r="AB564" s="89"/>
      <c r="AC564" s="89"/>
      <c r="AD564" s="89"/>
    </row>
    <row r="565" spans="18:30" x14ac:dyDescent="0.3">
      <c r="R565" s="89"/>
      <c r="S565" s="89"/>
      <c r="T565" s="89"/>
      <c r="U565" s="89"/>
      <c r="V565" s="89"/>
      <c r="W565" s="89"/>
      <c r="X565" s="89"/>
      <c r="Y565" s="89"/>
      <c r="Z565" s="89"/>
      <c r="AA565" s="89"/>
      <c r="AB565" s="89"/>
      <c r="AC565" s="89"/>
      <c r="AD565" s="89"/>
    </row>
    <row r="566" spans="18:30" x14ac:dyDescent="0.3">
      <c r="R566" s="89"/>
      <c r="S566" s="89"/>
      <c r="T566" s="89"/>
      <c r="U566" s="89"/>
      <c r="V566" s="89"/>
      <c r="W566" s="89"/>
      <c r="X566" s="89"/>
      <c r="Y566" s="89"/>
      <c r="Z566" s="89"/>
      <c r="AA566" s="89"/>
      <c r="AB566" s="89"/>
      <c r="AC566" s="89"/>
      <c r="AD566" s="89"/>
    </row>
    <row r="567" spans="18:30" x14ac:dyDescent="0.3">
      <c r="R567" s="89"/>
      <c r="S567" s="89"/>
      <c r="T567" s="89"/>
      <c r="U567" s="89"/>
      <c r="V567" s="89"/>
      <c r="W567" s="89"/>
      <c r="X567" s="89"/>
      <c r="Y567" s="89"/>
      <c r="Z567" s="89"/>
      <c r="AA567" s="89"/>
      <c r="AB567" s="89"/>
      <c r="AC567" s="89"/>
      <c r="AD567" s="89"/>
    </row>
    <row r="568" spans="18:30" x14ac:dyDescent="0.3">
      <c r="R568" s="89"/>
      <c r="S568" s="89"/>
      <c r="T568" s="89"/>
      <c r="U568" s="89"/>
      <c r="V568" s="89"/>
      <c r="W568" s="89"/>
      <c r="X568" s="89"/>
      <c r="Y568" s="89"/>
      <c r="Z568" s="89"/>
      <c r="AA568" s="89"/>
      <c r="AB568" s="89"/>
      <c r="AC568" s="89"/>
      <c r="AD568" s="89"/>
    </row>
    <row r="569" spans="18:30" x14ac:dyDescent="0.3">
      <c r="R569" s="89"/>
      <c r="S569" s="89"/>
      <c r="T569" s="89"/>
      <c r="U569" s="89"/>
      <c r="V569" s="89"/>
      <c r="W569" s="89"/>
      <c r="X569" s="89"/>
      <c r="Y569" s="89"/>
      <c r="Z569" s="89"/>
      <c r="AA569" s="89"/>
      <c r="AB569" s="89"/>
      <c r="AC569" s="89"/>
      <c r="AD569" s="89"/>
    </row>
    <row r="570" spans="18:30" x14ac:dyDescent="0.3">
      <c r="R570" s="89"/>
      <c r="S570" s="89"/>
      <c r="T570" s="89"/>
      <c r="U570" s="89"/>
      <c r="V570" s="89"/>
      <c r="W570" s="89"/>
      <c r="X570" s="89"/>
      <c r="Y570" s="89"/>
      <c r="Z570" s="89"/>
      <c r="AA570" s="89"/>
      <c r="AB570" s="89"/>
      <c r="AC570" s="89"/>
      <c r="AD570" s="89"/>
    </row>
    <row r="571" spans="18:30" x14ac:dyDescent="0.3">
      <c r="R571" s="89"/>
      <c r="S571" s="89"/>
      <c r="T571" s="89"/>
      <c r="U571" s="89"/>
      <c r="V571" s="89"/>
      <c r="W571" s="89"/>
      <c r="X571" s="89"/>
      <c r="Y571" s="89"/>
      <c r="Z571" s="89"/>
      <c r="AA571" s="89"/>
      <c r="AB571" s="89"/>
      <c r="AC571" s="89"/>
      <c r="AD571" s="89"/>
    </row>
    <row r="572" spans="18:30" x14ac:dyDescent="0.3">
      <c r="R572" s="89"/>
      <c r="S572" s="89"/>
      <c r="T572" s="89"/>
      <c r="U572" s="89"/>
      <c r="V572" s="89"/>
      <c r="W572" s="89"/>
      <c r="X572" s="89"/>
      <c r="Y572" s="89"/>
      <c r="Z572" s="89"/>
      <c r="AA572" s="89"/>
      <c r="AB572" s="89"/>
      <c r="AC572" s="89"/>
      <c r="AD572" s="89"/>
    </row>
    <row r="573" spans="18:30" x14ac:dyDescent="0.3">
      <c r="R573" s="89"/>
      <c r="S573" s="89"/>
      <c r="T573" s="89"/>
      <c r="U573" s="89"/>
      <c r="V573" s="89"/>
      <c r="W573" s="89"/>
      <c r="X573" s="89"/>
      <c r="Y573" s="89"/>
      <c r="Z573" s="89"/>
      <c r="AA573" s="89"/>
      <c r="AB573" s="89"/>
      <c r="AC573" s="89"/>
      <c r="AD573" s="89"/>
    </row>
    <row r="574" spans="18:30" x14ac:dyDescent="0.3">
      <c r="R574" s="89"/>
      <c r="S574" s="89"/>
      <c r="T574" s="89"/>
      <c r="U574" s="89"/>
      <c r="V574" s="89"/>
      <c r="W574" s="89"/>
      <c r="X574" s="89"/>
      <c r="Y574" s="89"/>
      <c r="Z574" s="89"/>
      <c r="AA574" s="89"/>
      <c r="AB574" s="89"/>
      <c r="AC574" s="89"/>
      <c r="AD574" s="89"/>
    </row>
    <row r="575" spans="18:30" x14ac:dyDescent="0.3">
      <c r="R575" s="89"/>
      <c r="S575" s="89"/>
      <c r="T575" s="89"/>
      <c r="U575" s="89"/>
      <c r="V575" s="89"/>
      <c r="W575" s="89"/>
      <c r="X575" s="89"/>
      <c r="Y575" s="89"/>
      <c r="Z575" s="89"/>
      <c r="AA575" s="89"/>
      <c r="AB575" s="89"/>
      <c r="AC575" s="89"/>
      <c r="AD575" s="89"/>
    </row>
    <row r="576" spans="18:30" x14ac:dyDescent="0.3">
      <c r="R576" s="89"/>
      <c r="S576" s="89"/>
      <c r="T576" s="89"/>
      <c r="U576" s="89"/>
      <c r="V576" s="89"/>
      <c r="W576" s="89"/>
      <c r="X576" s="89"/>
      <c r="Y576" s="89"/>
      <c r="Z576" s="89"/>
      <c r="AA576" s="89"/>
      <c r="AB576" s="89"/>
      <c r="AC576" s="89"/>
      <c r="AD576" s="89"/>
    </row>
    <row r="577" spans="18:30" x14ac:dyDescent="0.3">
      <c r="R577" s="89"/>
      <c r="S577" s="89"/>
      <c r="T577" s="89"/>
      <c r="U577" s="89"/>
      <c r="V577" s="89"/>
      <c r="W577" s="89"/>
      <c r="X577" s="89"/>
      <c r="Y577" s="89"/>
      <c r="Z577" s="89"/>
      <c r="AA577" s="89"/>
      <c r="AB577" s="89"/>
      <c r="AC577" s="89"/>
      <c r="AD577" s="89"/>
    </row>
    <row r="578" spans="18:30" x14ac:dyDescent="0.3">
      <c r="R578" s="89"/>
      <c r="S578" s="89"/>
      <c r="T578" s="89"/>
      <c r="U578" s="89"/>
      <c r="V578" s="89"/>
      <c r="W578" s="89"/>
      <c r="X578" s="89"/>
      <c r="Y578" s="89"/>
      <c r="Z578" s="89"/>
      <c r="AA578" s="89"/>
      <c r="AB578" s="89"/>
      <c r="AC578" s="89"/>
      <c r="AD578" s="89"/>
    </row>
    <row r="579" spans="18:30" x14ac:dyDescent="0.3">
      <c r="R579" s="89"/>
      <c r="S579" s="89"/>
      <c r="T579" s="89"/>
      <c r="U579" s="89"/>
      <c r="V579" s="89"/>
      <c r="W579" s="89"/>
      <c r="X579" s="89"/>
      <c r="Y579" s="89"/>
      <c r="Z579" s="89"/>
      <c r="AA579" s="89"/>
      <c r="AB579" s="89"/>
      <c r="AC579" s="89"/>
      <c r="AD579" s="89"/>
    </row>
    <row r="580" spans="18:30" x14ac:dyDescent="0.3">
      <c r="R580" s="89"/>
      <c r="S580" s="89"/>
      <c r="T580" s="89"/>
      <c r="U580" s="89"/>
      <c r="V580" s="89"/>
      <c r="W580" s="89"/>
      <c r="X580" s="89"/>
      <c r="Y580" s="89"/>
      <c r="Z580" s="89"/>
      <c r="AA580" s="89"/>
      <c r="AB580" s="89"/>
      <c r="AC580" s="89"/>
      <c r="AD580" s="89"/>
    </row>
    <row r="581" spans="18:30" x14ac:dyDescent="0.3">
      <c r="R581" s="89"/>
      <c r="S581" s="89"/>
      <c r="T581" s="89"/>
      <c r="U581" s="89"/>
      <c r="V581" s="89"/>
      <c r="W581" s="89"/>
      <c r="X581" s="89"/>
      <c r="Y581" s="89"/>
      <c r="Z581" s="89"/>
      <c r="AA581" s="89"/>
      <c r="AB581" s="89"/>
      <c r="AC581" s="89"/>
      <c r="AD581" s="89"/>
    </row>
    <row r="582" spans="18:30" x14ac:dyDescent="0.3">
      <c r="R582" s="89"/>
      <c r="S582" s="89"/>
      <c r="T582" s="89"/>
      <c r="U582" s="89"/>
      <c r="V582" s="89"/>
      <c r="W582" s="89"/>
      <c r="X582" s="89"/>
      <c r="Y582" s="89"/>
      <c r="Z582" s="89"/>
      <c r="AA582" s="89"/>
      <c r="AB582" s="89"/>
      <c r="AC582" s="89"/>
      <c r="AD582" s="89"/>
    </row>
    <row r="583" spans="18:30" x14ac:dyDescent="0.3">
      <c r="R583" s="89"/>
      <c r="S583" s="89"/>
      <c r="T583" s="89"/>
      <c r="U583" s="89"/>
      <c r="V583" s="89"/>
      <c r="W583" s="89"/>
      <c r="X583" s="89"/>
      <c r="Y583" s="89"/>
      <c r="Z583" s="89"/>
      <c r="AA583" s="89"/>
      <c r="AB583" s="89"/>
      <c r="AC583" s="89"/>
      <c r="AD583" s="89"/>
    </row>
    <row r="584" spans="18:30" x14ac:dyDescent="0.3">
      <c r="R584" s="89"/>
      <c r="S584" s="89"/>
      <c r="T584" s="89"/>
      <c r="U584" s="89"/>
      <c r="V584" s="89"/>
      <c r="W584" s="89"/>
      <c r="X584" s="89"/>
      <c r="Y584" s="89"/>
      <c r="Z584" s="89"/>
      <c r="AA584" s="89"/>
      <c r="AB584" s="89"/>
      <c r="AC584" s="89"/>
      <c r="AD584" s="89"/>
    </row>
    <row r="585" spans="18:30" x14ac:dyDescent="0.3">
      <c r="R585" s="89"/>
      <c r="S585" s="89"/>
      <c r="T585" s="89"/>
      <c r="U585" s="89"/>
      <c r="V585" s="89"/>
      <c r="W585" s="89"/>
      <c r="X585" s="89"/>
      <c r="Y585" s="89"/>
      <c r="Z585" s="89"/>
      <c r="AA585" s="89"/>
      <c r="AB585" s="89"/>
      <c r="AC585" s="89"/>
      <c r="AD585" s="89"/>
    </row>
    <row r="586" spans="18:30" x14ac:dyDescent="0.3">
      <c r="R586" s="89"/>
      <c r="S586" s="89"/>
      <c r="T586" s="89"/>
      <c r="U586" s="89"/>
      <c r="V586" s="89"/>
      <c r="W586" s="89"/>
      <c r="X586" s="89"/>
      <c r="Y586" s="89"/>
      <c r="Z586" s="89"/>
      <c r="AA586" s="89"/>
      <c r="AB586" s="89"/>
      <c r="AC586" s="89"/>
      <c r="AD586" s="89"/>
    </row>
    <row r="587" spans="18:30" x14ac:dyDescent="0.3">
      <c r="R587" s="89"/>
      <c r="S587" s="89"/>
      <c r="T587" s="89"/>
      <c r="U587" s="89"/>
      <c r="V587" s="89"/>
      <c r="W587" s="89"/>
      <c r="X587" s="89"/>
      <c r="Y587" s="89"/>
      <c r="Z587" s="89"/>
      <c r="AA587" s="89"/>
      <c r="AB587" s="89"/>
      <c r="AC587" s="89"/>
      <c r="AD587" s="89"/>
    </row>
    <row r="588" spans="18:30" x14ac:dyDescent="0.3">
      <c r="R588" s="89"/>
      <c r="S588" s="89"/>
      <c r="T588" s="89"/>
      <c r="U588" s="89"/>
      <c r="V588" s="89"/>
      <c r="W588" s="89"/>
      <c r="X588" s="89"/>
      <c r="Y588" s="89"/>
      <c r="Z588" s="89"/>
      <c r="AA588" s="89"/>
      <c r="AB588" s="89"/>
      <c r="AC588" s="89"/>
      <c r="AD588" s="89"/>
    </row>
    <row r="589" spans="18:30" x14ac:dyDescent="0.3">
      <c r="R589" s="89"/>
      <c r="S589" s="89"/>
      <c r="T589" s="89"/>
      <c r="U589" s="89"/>
      <c r="V589" s="89"/>
      <c r="W589" s="89"/>
      <c r="X589" s="89"/>
      <c r="Y589" s="89"/>
      <c r="Z589" s="89"/>
      <c r="AA589" s="89"/>
      <c r="AB589" s="89"/>
      <c r="AC589" s="89"/>
      <c r="AD589" s="89"/>
    </row>
    <row r="590" spans="18:30" x14ac:dyDescent="0.3">
      <c r="R590" s="89"/>
      <c r="S590" s="89"/>
      <c r="T590" s="89"/>
      <c r="U590" s="89"/>
      <c r="V590" s="89"/>
      <c r="W590" s="89"/>
      <c r="X590" s="89"/>
      <c r="Y590" s="89"/>
      <c r="Z590" s="89"/>
      <c r="AA590" s="89"/>
      <c r="AB590" s="89"/>
      <c r="AC590" s="89"/>
      <c r="AD590" s="89"/>
    </row>
    <row r="591" spans="18:30" x14ac:dyDescent="0.3">
      <c r="R591" s="89"/>
      <c r="S591" s="89"/>
      <c r="T591" s="89"/>
      <c r="U591" s="89"/>
      <c r="V591" s="89"/>
      <c r="W591" s="89"/>
      <c r="X591" s="89"/>
      <c r="Y591" s="89"/>
      <c r="Z591" s="89"/>
      <c r="AA591" s="89"/>
      <c r="AB591" s="89"/>
      <c r="AC591" s="89"/>
      <c r="AD591" s="89"/>
    </row>
    <row r="592" spans="18:30" x14ac:dyDescent="0.3">
      <c r="R592" s="89"/>
      <c r="S592" s="89"/>
      <c r="T592" s="89"/>
      <c r="U592" s="89"/>
      <c r="V592" s="89"/>
      <c r="W592" s="89"/>
      <c r="X592" s="89"/>
      <c r="Y592" s="89"/>
      <c r="Z592" s="89"/>
      <c r="AA592" s="89"/>
      <c r="AB592" s="89"/>
      <c r="AC592" s="89"/>
      <c r="AD592" s="89"/>
    </row>
    <row r="593" spans="18:30" x14ac:dyDescent="0.3">
      <c r="R593" s="89"/>
      <c r="S593" s="89"/>
      <c r="T593" s="89"/>
      <c r="U593" s="89"/>
      <c r="V593" s="89"/>
      <c r="W593" s="89"/>
      <c r="X593" s="89"/>
      <c r="Y593" s="89"/>
      <c r="Z593" s="89"/>
      <c r="AA593" s="89"/>
      <c r="AB593" s="89"/>
      <c r="AC593" s="89"/>
      <c r="AD593" s="89"/>
    </row>
    <row r="594" spans="18:30" x14ac:dyDescent="0.3">
      <c r="R594" s="89"/>
      <c r="S594" s="89"/>
      <c r="T594" s="89"/>
      <c r="U594" s="89"/>
      <c r="V594" s="89"/>
      <c r="W594" s="89"/>
      <c r="X594" s="89"/>
      <c r="Y594" s="89"/>
      <c r="Z594" s="89"/>
      <c r="AA594" s="89"/>
      <c r="AB594" s="89"/>
      <c r="AC594" s="89"/>
      <c r="AD594" s="89"/>
    </row>
    <row r="595" spans="18:30" x14ac:dyDescent="0.3">
      <c r="R595" s="89"/>
      <c r="S595" s="89"/>
      <c r="T595" s="89"/>
      <c r="U595" s="89"/>
      <c r="V595" s="89"/>
      <c r="W595" s="89"/>
      <c r="X595" s="89"/>
      <c r="Y595" s="89"/>
      <c r="Z595" s="89"/>
      <c r="AA595" s="89"/>
      <c r="AB595" s="89"/>
      <c r="AC595" s="89"/>
      <c r="AD595" s="89"/>
    </row>
    <row r="596" spans="18:30" x14ac:dyDescent="0.3">
      <c r="R596" s="89"/>
      <c r="S596" s="89"/>
      <c r="T596" s="89"/>
      <c r="U596" s="89"/>
      <c r="V596" s="89"/>
      <c r="W596" s="89"/>
      <c r="X596" s="89"/>
      <c r="Y596" s="89"/>
      <c r="Z596" s="89"/>
      <c r="AA596" s="89"/>
      <c r="AB596" s="89"/>
      <c r="AC596" s="89"/>
      <c r="AD596" s="89"/>
    </row>
    <row r="597" spans="18:30" x14ac:dyDescent="0.3">
      <c r="R597" s="89"/>
      <c r="S597" s="89"/>
      <c r="T597" s="89"/>
      <c r="U597" s="89"/>
      <c r="V597" s="89"/>
      <c r="W597" s="89"/>
      <c r="X597" s="89"/>
      <c r="Y597" s="89"/>
      <c r="Z597" s="89"/>
      <c r="AA597" s="89"/>
      <c r="AB597" s="89"/>
      <c r="AC597" s="89"/>
      <c r="AD597" s="89"/>
    </row>
    <row r="598" spans="18:30" x14ac:dyDescent="0.3">
      <c r="R598" s="89"/>
      <c r="S598" s="89"/>
      <c r="T598" s="89"/>
      <c r="U598" s="89"/>
      <c r="V598" s="89"/>
      <c r="W598" s="89"/>
      <c r="X598" s="89"/>
      <c r="Y598" s="89"/>
      <c r="Z598" s="89"/>
      <c r="AA598" s="89"/>
      <c r="AB598" s="89"/>
      <c r="AC598" s="89"/>
      <c r="AD598" s="89"/>
    </row>
    <row r="599" spans="18:30" x14ac:dyDescent="0.3">
      <c r="R599" s="89"/>
      <c r="S599" s="89"/>
      <c r="T599" s="89"/>
      <c r="U599" s="89"/>
      <c r="V599" s="89"/>
      <c r="W599" s="89"/>
      <c r="X599" s="89"/>
      <c r="Y599" s="89"/>
      <c r="Z599" s="89"/>
      <c r="AA599" s="89"/>
      <c r="AB599" s="89"/>
      <c r="AC599" s="89"/>
      <c r="AD599" s="89"/>
    </row>
    <row r="600" spans="18:30" x14ac:dyDescent="0.3">
      <c r="R600" s="89"/>
      <c r="S600" s="89"/>
      <c r="T600" s="89"/>
      <c r="U600" s="89"/>
      <c r="V600" s="89"/>
      <c r="W600" s="89"/>
      <c r="X600" s="89"/>
      <c r="Y600" s="89"/>
      <c r="Z600" s="89"/>
      <c r="AA600" s="89"/>
      <c r="AB600" s="89"/>
      <c r="AC600" s="89"/>
      <c r="AD600" s="89"/>
    </row>
    <row r="601" spans="18:30" x14ac:dyDescent="0.3">
      <c r="R601" s="89"/>
      <c r="S601" s="89"/>
      <c r="T601" s="89"/>
      <c r="U601" s="89"/>
      <c r="V601" s="89"/>
      <c r="W601" s="89"/>
      <c r="X601" s="89"/>
      <c r="Y601" s="89"/>
      <c r="Z601" s="89"/>
      <c r="AA601" s="89"/>
      <c r="AB601" s="89"/>
      <c r="AC601" s="89"/>
      <c r="AD601" s="89"/>
    </row>
    <row r="602" spans="18:30" x14ac:dyDescent="0.3">
      <c r="R602" s="89"/>
      <c r="S602" s="89"/>
      <c r="T602" s="89"/>
      <c r="U602" s="89"/>
      <c r="V602" s="89"/>
      <c r="W602" s="89"/>
      <c r="X602" s="89"/>
      <c r="Y602" s="89"/>
      <c r="Z602" s="89"/>
      <c r="AA602" s="89"/>
      <c r="AB602" s="89"/>
      <c r="AC602" s="89"/>
      <c r="AD602" s="89"/>
    </row>
    <row r="603" spans="18:30" x14ac:dyDescent="0.3">
      <c r="R603" s="89"/>
      <c r="S603" s="89"/>
      <c r="T603" s="89"/>
      <c r="U603" s="89"/>
      <c r="V603" s="89"/>
      <c r="W603" s="89"/>
      <c r="X603" s="89"/>
      <c r="Y603" s="89"/>
      <c r="Z603" s="89"/>
      <c r="AA603" s="89"/>
      <c r="AB603" s="89"/>
      <c r="AC603" s="89"/>
      <c r="AD603" s="89"/>
    </row>
    <row r="604" spans="18:30" x14ac:dyDescent="0.3">
      <c r="R604" s="89"/>
      <c r="S604" s="89"/>
      <c r="T604" s="89"/>
      <c r="U604" s="89"/>
      <c r="V604" s="89"/>
      <c r="W604" s="89"/>
      <c r="X604" s="89"/>
      <c r="Y604" s="89"/>
      <c r="Z604" s="89"/>
      <c r="AA604" s="89"/>
      <c r="AB604" s="89"/>
      <c r="AC604" s="89"/>
      <c r="AD604" s="89"/>
    </row>
    <row r="605" spans="18:30" x14ac:dyDescent="0.3">
      <c r="R605" s="89"/>
      <c r="S605" s="89"/>
      <c r="T605" s="89"/>
      <c r="U605" s="89"/>
      <c r="V605" s="89"/>
      <c r="W605" s="89"/>
      <c r="X605" s="89"/>
      <c r="Y605" s="89"/>
      <c r="Z605" s="89"/>
      <c r="AA605" s="89"/>
      <c r="AB605" s="89"/>
      <c r="AC605" s="89"/>
      <c r="AD605" s="89"/>
    </row>
    <row r="606" spans="18:30" x14ac:dyDescent="0.3">
      <c r="R606" s="89"/>
      <c r="S606" s="89"/>
      <c r="T606" s="89"/>
      <c r="U606" s="89"/>
      <c r="V606" s="89"/>
      <c r="W606" s="89"/>
      <c r="X606" s="89"/>
      <c r="Y606" s="89"/>
      <c r="Z606" s="89"/>
      <c r="AA606" s="89"/>
      <c r="AB606" s="89"/>
      <c r="AC606" s="89"/>
      <c r="AD606" s="89"/>
    </row>
    <row r="607" spans="18:30" x14ac:dyDescent="0.3">
      <c r="R607" s="89"/>
      <c r="S607" s="89"/>
      <c r="T607" s="89"/>
      <c r="U607" s="89"/>
      <c r="V607" s="89"/>
      <c r="W607" s="89"/>
      <c r="X607" s="89"/>
      <c r="Y607" s="89"/>
      <c r="Z607" s="89"/>
      <c r="AA607" s="89"/>
      <c r="AB607" s="89"/>
      <c r="AC607" s="89"/>
      <c r="AD607" s="89"/>
    </row>
    <row r="608" spans="18:30" x14ac:dyDescent="0.3">
      <c r="R608" s="89"/>
      <c r="S608" s="89"/>
      <c r="T608" s="89"/>
      <c r="U608" s="89"/>
      <c r="V608" s="89"/>
      <c r="W608" s="89"/>
      <c r="X608" s="89"/>
      <c r="Y608" s="89"/>
      <c r="Z608" s="89"/>
      <c r="AA608" s="89"/>
      <c r="AB608" s="89"/>
      <c r="AC608" s="89"/>
      <c r="AD608" s="89"/>
    </row>
    <row r="609" spans="18:30" x14ac:dyDescent="0.3">
      <c r="R609" s="89"/>
      <c r="S609" s="89"/>
      <c r="T609" s="89"/>
      <c r="U609" s="89"/>
      <c r="V609" s="89"/>
      <c r="W609" s="89"/>
      <c r="X609" s="89"/>
      <c r="Y609" s="89"/>
      <c r="Z609" s="89"/>
      <c r="AA609" s="89"/>
      <c r="AB609" s="89"/>
      <c r="AC609" s="89"/>
      <c r="AD609" s="89"/>
    </row>
    <row r="610" spans="18:30" x14ac:dyDescent="0.3">
      <c r="R610" s="89"/>
      <c r="S610" s="89"/>
      <c r="T610" s="89"/>
      <c r="U610" s="89"/>
      <c r="V610" s="89"/>
      <c r="W610" s="89"/>
      <c r="X610" s="89"/>
      <c r="Y610" s="89"/>
      <c r="Z610" s="89"/>
      <c r="AA610" s="89"/>
      <c r="AB610" s="89"/>
      <c r="AC610" s="89"/>
      <c r="AD610" s="89"/>
    </row>
    <row r="611" spans="18:30" x14ac:dyDescent="0.3">
      <c r="R611" s="89"/>
      <c r="S611" s="89"/>
      <c r="T611" s="89"/>
      <c r="U611" s="89"/>
      <c r="V611" s="89"/>
      <c r="W611" s="89"/>
      <c r="X611" s="89"/>
      <c r="Y611" s="89"/>
      <c r="Z611" s="89"/>
      <c r="AA611" s="89"/>
      <c r="AB611" s="89"/>
      <c r="AC611" s="89"/>
      <c r="AD611" s="89"/>
    </row>
    <row r="612" spans="18:30" x14ac:dyDescent="0.3">
      <c r="R612" s="89"/>
      <c r="S612" s="89"/>
      <c r="T612" s="89"/>
      <c r="U612" s="89"/>
      <c r="V612" s="89"/>
      <c r="W612" s="89"/>
      <c r="X612" s="89"/>
      <c r="Y612" s="89"/>
      <c r="Z612" s="89"/>
      <c r="AA612" s="89"/>
      <c r="AB612" s="89"/>
      <c r="AC612" s="89"/>
      <c r="AD612" s="89"/>
    </row>
    <row r="613" spans="18:30" x14ac:dyDescent="0.3">
      <c r="R613" s="89"/>
      <c r="S613" s="89"/>
      <c r="T613" s="89"/>
      <c r="U613" s="89"/>
      <c r="V613" s="89"/>
      <c r="W613" s="89"/>
      <c r="X613" s="89"/>
      <c r="Y613" s="89"/>
      <c r="Z613" s="89"/>
      <c r="AA613" s="89"/>
      <c r="AB613" s="89"/>
      <c r="AC613" s="89"/>
      <c r="AD613" s="89"/>
    </row>
    <row r="614" spans="18:30" x14ac:dyDescent="0.3">
      <c r="R614" s="89"/>
      <c r="S614" s="89"/>
      <c r="T614" s="89"/>
      <c r="U614" s="89"/>
      <c r="V614" s="89"/>
      <c r="W614" s="89"/>
      <c r="X614" s="89"/>
      <c r="Y614" s="89"/>
      <c r="Z614" s="89"/>
      <c r="AA614" s="89"/>
      <c r="AB614" s="89"/>
      <c r="AC614" s="89"/>
      <c r="AD614" s="89"/>
    </row>
    <row r="615" spans="18:30" x14ac:dyDescent="0.3">
      <c r="R615" s="89"/>
      <c r="S615" s="89"/>
      <c r="T615" s="89"/>
      <c r="U615" s="89"/>
      <c r="V615" s="89"/>
      <c r="W615" s="89"/>
      <c r="X615" s="89"/>
      <c r="Y615" s="89"/>
      <c r="Z615" s="89"/>
      <c r="AA615" s="89"/>
      <c r="AB615" s="89"/>
      <c r="AC615" s="89"/>
      <c r="AD615" s="89"/>
    </row>
    <row r="616" spans="18:30" x14ac:dyDescent="0.3">
      <c r="R616" s="89"/>
      <c r="S616" s="89"/>
      <c r="T616" s="89"/>
      <c r="U616" s="89"/>
      <c r="V616" s="89"/>
      <c r="W616" s="89"/>
      <c r="X616" s="89"/>
      <c r="Y616" s="89"/>
      <c r="Z616" s="89"/>
      <c r="AA616" s="89"/>
      <c r="AB616" s="89"/>
      <c r="AC616" s="89"/>
      <c r="AD616" s="89"/>
    </row>
    <row r="617" spans="18:30" x14ac:dyDescent="0.3">
      <c r="R617" s="89"/>
      <c r="S617" s="89"/>
      <c r="T617" s="89"/>
      <c r="U617" s="89"/>
      <c r="V617" s="89"/>
      <c r="W617" s="89"/>
      <c r="X617" s="89"/>
      <c r="Y617" s="89"/>
      <c r="Z617" s="89"/>
      <c r="AA617" s="89"/>
      <c r="AB617" s="89"/>
      <c r="AC617" s="89"/>
      <c r="AD617" s="89"/>
    </row>
    <row r="618" spans="18:30" x14ac:dyDescent="0.3">
      <c r="R618" s="89"/>
      <c r="S618" s="89"/>
      <c r="T618" s="89"/>
      <c r="U618" s="89"/>
      <c r="V618" s="89"/>
      <c r="W618" s="89"/>
      <c r="X618" s="89"/>
      <c r="Y618" s="89"/>
      <c r="Z618" s="89"/>
      <c r="AA618" s="89"/>
      <c r="AB618" s="89"/>
      <c r="AC618" s="89"/>
      <c r="AD618" s="89"/>
    </row>
    <row r="619" spans="18:30" x14ac:dyDescent="0.3">
      <c r="R619" s="89"/>
      <c r="S619" s="89"/>
      <c r="T619" s="89"/>
      <c r="U619" s="89"/>
      <c r="V619" s="89"/>
      <c r="W619" s="89"/>
      <c r="X619" s="89"/>
      <c r="Y619" s="89"/>
      <c r="Z619" s="89"/>
      <c r="AA619" s="89"/>
      <c r="AB619" s="89"/>
      <c r="AC619" s="89"/>
      <c r="AD619" s="89"/>
    </row>
    <row r="620" spans="18:30" x14ac:dyDescent="0.3">
      <c r="R620" s="89"/>
      <c r="S620" s="89"/>
      <c r="T620" s="89"/>
      <c r="U620" s="89"/>
      <c r="V620" s="89"/>
      <c r="W620" s="89"/>
      <c r="X620" s="89"/>
      <c r="Y620" s="89"/>
      <c r="Z620" s="89"/>
      <c r="AA620" s="89"/>
      <c r="AB620" s="89"/>
      <c r="AC620" s="89"/>
      <c r="AD620" s="89"/>
    </row>
    <row r="621" spans="18:30" x14ac:dyDescent="0.3">
      <c r="R621" s="89"/>
      <c r="S621" s="89"/>
      <c r="T621" s="89"/>
      <c r="U621" s="89"/>
      <c r="V621" s="89"/>
      <c r="W621" s="89"/>
      <c r="X621" s="89"/>
      <c r="Y621" s="89"/>
      <c r="Z621" s="89"/>
      <c r="AA621" s="89"/>
      <c r="AB621" s="89"/>
      <c r="AC621" s="89"/>
      <c r="AD621" s="89"/>
    </row>
    <row r="622" spans="18:30" x14ac:dyDescent="0.3">
      <c r="R622" s="89"/>
      <c r="S622" s="89"/>
      <c r="T622" s="89"/>
      <c r="U622" s="89"/>
      <c r="V622" s="89"/>
      <c r="W622" s="89"/>
      <c r="X622" s="89"/>
      <c r="Y622" s="89"/>
      <c r="Z622" s="89"/>
      <c r="AA622" s="89"/>
      <c r="AB622" s="89"/>
      <c r="AC622" s="89"/>
      <c r="AD622" s="89"/>
    </row>
    <row r="623" spans="18:30" x14ac:dyDescent="0.3">
      <c r="R623" s="89"/>
      <c r="S623" s="89"/>
      <c r="T623" s="89"/>
      <c r="U623" s="89"/>
      <c r="V623" s="89"/>
      <c r="W623" s="89"/>
      <c r="X623" s="89"/>
      <c r="Y623" s="89"/>
      <c r="Z623" s="89"/>
      <c r="AA623" s="89"/>
      <c r="AB623" s="89"/>
      <c r="AC623" s="89"/>
      <c r="AD623" s="89"/>
    </row>
    <row r="624" spans="18:30" x14ac:dyDescent="0.3">
      <c r="R624" s="89"/>
      <c r="S624" s="89"/>
      <c r="T624" s="89"/>
      <c r="U624" s="89"/>
      <c r="V624" s="89"/>
      <c r="W624" s="89"/>
      <c r="X624" s="89"/>
      <c r="Y624" s="89"/>
      <c r="Z624" s="89"/>
      <c r="AA624" s="89"/>
      <c r="AB624" s="89"/>
      <c r="AC624" s="89"/>
      <c r="AD624" s="89"/>
    </row>
    <row r="625" spans="18:30" x14ac:dyDescent="0.3">
      <c r="R625" s="89"/>
      <c r="S625" s="89"/>
      <c r="T625" s="89"/>
      <c r="U625" s="89"/>
      <c r="V625" s="89"/>
      <c r="W625" s="89"/>
      <c r="X625" s="89"/>
      <c r="Y625" s="89"/>
      <c r="Z625" s="89"/>
      <c r="AA625" s="89"/>
      <c r="AB625" s="89"/>
      <c r="AC625" s="89"/>
      <c r="AD625" s="89"/>
    </row>
    <row r="626" spans="18:30" x14ac:dyDescent="0.3">
      <c r="R626" s="89"/>
      <c r="S626" s="89"/>
      <c r="T626" s="89"/>
      <c r="U626" s="89"/>
      <c r="V626" s="89"/>
      <c r="W626" s="89"/>
      <c r="X626" s="89"/>
      <c r="Y626" s="89"/>
      <c r="Z626" s="89"/>
      <c r="AA626" s="89"/>
      <c r="AB626" s="89"/>
      <c r="AC626" s="89"/>
      <c r="AD626" s="89"/>
    </row>
    <row r="627" spans="18:30" x14ac:dyDescent="0.3">
      <c r="R627" s="89"/>
      <c r="S627" s="89"/>
      <c r="T627" s="89"/>
      <c r="U627" s="89"/>
      <c r="V627" s="89"/>
      <c r="W627" s="89"/>
      <c r="X627" s="89"/>
      <c r="Y627" s="89"/>
      <c r="Z627" s="89"/>
      <c r="AA627" s="89"/>
      <c r="AB627" s="89"/>
      <c r="AC627" s="89"/>
      <c r="AD627" s="89"/>
    </row>
    <row r="628" spans="18:30" x14ac:dyDescent="0.3">
      <c r="R628" s="89"/>
      <c r="S628" s="89"/>
      <c r="T628" s="89"/>
      <c r="U628" s="89"/>
      <c r="V628" s="89"/>
      <c r="W628" s="89"/>
      <c r="X628" s="89"/>
      <c r="Y628" s="89"/>
      <c r="Z628" s="89"/>
      <c r="AA628" s="89"/>
      <c r="AB628" s="89"/>
      <c r="AC628" s="89"/>
      <c r="AD628" s="89"/>
    </row>
    <row r="629" spans="18:30" x14ac:dyDescent="0.3">
      <c r="R629" s="89"/>
      <c r="S629" s="89"/>
      <c r="T629" s="89"/>
      <c r="U629" s="89"/>
      <c r="V629" s="89"/>
      <c r="W629" s="89"/>
      <c r="X629" s="89"/>
      <c r="Y629" s="89"/>
      <c r="Z629" s="89"/>
      <c r="AA629" s="89"/>
      <c r="AB629" s="89"/>
      <c r="AC629" s="89"/>
      <c r="AD629" s="89"/>
    </row>
    <row r="630" spans="18:30" x14ac:dyDescent="0.3">
      <c r="R630" s="89"/>
      <c r="S630" s="89"/>
      <c r="T630" s="89"/>
      <c r="U630" s="89"/>
      <c r="V630" s="89"/>
      <c r="W630" s="89"/>
      <c r="X630" s="89"/>
      <c r="Y630" s="89"/>
      <c r="Z630" s="89"/>
      <c r="AA630" s="89"/>
      <c r="AB630" s="89"/>
      <c r="AC630" s="89"/>
      <c r="AD630" s="89"/>
    </row>
    <row r="631" spans="18:30" x14ac:dyDescent="0.3">
      <c r="R631" s="89"/>
      <c r="S631" s="89"/>
      <c r="T631" s="89"/>
      <c r="U631" s="89"/>
      <c r="V631" s="89"/>
      <c r="W631" s="89"/>
      <c r="X631" s="89"/>
      <c r="Y631" s="89"/>
      <c r="Z631" s="89"/>
      <c r="AA631" s="89"/>
      <c r="AB631" s="89"/>
      <c r="AC631" s="89"/>
      <c r="AD631" s="89"/>
    </row>
    <row r="632" spans="18:30" x14ac:dyDescent="0.3">
      <c r="R632" s="89"/>
      <c r="S632" s="89"/>
      <c r="T632" s="89"/>
      <c r="U632" s="89"/>
      <c r="V632" s="89"/>
      <c r="W632" s="89"/>
      <c r="X632" s="89"/>
      <c r="Y632" s="89"/>
      <c r="Z632" s="89"/>
      <c r="AA632" s="89"/>
      <c r="AB632" s="89"/>
      <c r="AC632" s="89"/>
      <c r="AD632" s="89"/>
    </row>
    <row r="633" spans="18:30" x14ac:dyDescent="0.3">
      <c r="R633" s="89"/>
      <c r="S633" s="89"/>
      <c r="T633" s="89"/>
      <c r="U633" s="89"/>
      <c r="V633" s="89"/>
      <c r="W633" s="89"/>
      <c r="X633" s="89"/>
      <c r="Y633" s="89"/>
      <c r="Z633" s="89"/>
      <c r="AA633" s="89"/>
      <c r="AB633" s="89"/>
      <c r="AC633" s="89"/>
      <c r="AD633" s="89"/>
    </row>
    <row r="634" spans="18:30" x14ac:dyDescent="0.3">
      <c r="R634" s="89"/>
      <c r="S634" s="89"/>
      <c r="T634" s="89"/>
      <c r="U634" s="89"/>
      <c r="V634" s="89"/>
      <c r="W634" s="89"/>
      <c r="X634" s="89"/>
      <c r="Y634" s="89"/>
      <c r="Z634" s="89"/>
      <c r="AA634" s="89"/>
      <c r="AB634" s="89"/>
      <c r="AC634" s="89"/>
      <c r="AD634" s="89"/>
    </row>
    <row r="635" spans="18:30" x14ac:dyDescent="0.3">
      <c r="R635" s="89"/>
      <c r="S635" s="89"/>
      <c r="T635" s="89"/>
      <c r="U635" s="89"/>
      <c r="V635" s="89"/>
      <c r="W635" s="89"/>
      <c r="X635" s="89"/>
      <c r="Y635" s="89"/>
      <c r="Z635" s="89"/>
      <c r="AA635" s="89"/>
      <c r="AB635" s="89"/>
      <c r="AC635" s="89"/>
      <c r="AD635" s="89"/>
    </row>
    <row r="636" spans="18:30" x14ac:dyDescent="0.3">
      <c r="R636" s="89"/>
      <c r="S636" s="89"/>
      <c r="T636" s="89"/>
      <c r="U636" s="89"/>
      <c r="V636" s="89"/>
      <c r="W636" s="89"/>
      <c r="X636" s="89"/>
      <c r="Y636" s="89"/>
      <c r="Z636" s="89"/>
      <c r="AA636" s="89"/>
      <c r="AB636" s="89"/>
      <c r="AC636" s="89"/>
      <c r="AD636" s="89"/>
    </row>
    <row r="637" spans="18:30" x14ac:dyDescent="0.3">
      <c r="R637" s="89"/>
      <c r="S637" s="89"/>
      <c r="T637" s="89"/>
      <c r="U637" s="89"/>
      <c r="V637" s="89"/>
      <c r="W637" s="89"/>
      <c r="X637" s="89"/>
      <c r="Y637" s="89"/>
      <c r="Z637" s="89"/>
      <c r="AA637" s="89"/>
      <c r="AB637" s="89"/>
      <c r="AC637" s="89"/>
      <c r="AD637" s="89"/>
    </row>
    <row r="638" spans="18:30" x14ac:dyDescent="0.3">
      <c r="R638" s="89"/>
      <c r="S638" s="89"/>
      <c r="T638" s="89"/>
      <c r="U638" s="89"/>
      <c r="V638" s="89"/>
      <c r="W638" s="89"/>
      <c r="X638" s="89"/>
      <c r="Y638" s="89"/>
      <c r="Z638" s="89"/>
      <c r="AA638" s="89"/>
      <c r="AB638" s="89"/>
      <c r="AC638" s="89"/>
      <c r="AD638" s="89"/>
    </row>
    <row r="639" spans="18:30" x14ac:dyDescent="0.3">
      <c r="R639" s="89"/>
      <c r="S639" s="89"/>
      <c r="T639" s="89"/>
      <c r="U639" s="89"/>
      <c r="V639" s="89"/>
      <c r="W639" s="89"/>
      <c r="X639" s="89"/>
      <c r="Y639" s="89"/>
      <c r="Z639" s="89"/>
      <c r="AA639" s="89"/>
      <c r="AB639" s="89"/>
      <c r="AC639" s="89"/>
      <c r="AD639" s="89"/>
    </row>
    <row r="640" spans="18:30" x14ac:dyDescent="0.3">
      <c r="R640" s="89"/>
      <c r="S640" s="89"/>
      <c r="T640" s="89"/>
      <c r="U640" s="89"/>
      <c r="V640" s="89"/>
      <c r="W640" s="89"/>
      <c r="X640" s="89"/>
      <c r="Y640" s="89"/>
      <c r="Z640" s="89"/>
      <c r="AA640" s="89"/>
      <c r="AB640" s="89"/>
      <c r="AC640" s="89"/>
      <c r="AD640" s="89"/>
    </row>
    <row r="641" spans="18:30" x14ac:dyDescent="0.3">
      <c r="R641" s="89"/>
      <c r="S641" s="89"/>
      <c r="T641" s="89"/>
      <c r="U641" s="89"/>
      <c r="V641" s="89"/>
      <c r="W641" s="89"/>
      <c r="X641" s="89"/>
      <c r="Y641" s="89"/>
      <c r="Z641" s="89"/>
      <c r="AA641" s="89"/>
      <c r="AB641" s="89"/>
      <c r="AC641" s="89"/>
      <c r="AD641" s="89"/>
    </row>
    <row r="642" spans="18:30" x14ac:dyDescent="0.3">
      <c r="R642" s="89"/>
      <c r="S642" s="89"/>
      <c r="T642" s="89"/>
      <c r="U642" s="89"/>
      <c r="V642" s="89"/>
      <c r="W642" s="89"/>
      <c r="X642" s="89"/>
      <c r="Y642" s="89"/>
      <c r="Z642" s="89"/>
      <c r="AA642" s="89"/>
      <c r="AB642" s="89"/>
      <c r="AC642" s="89"/>
      <c r="AD642" s="89"/>
    </row>
    <row r="643" spans="18:30" x14ac:dyDescent="0.3">
      <c r="R643" s="89"/>
      <c r="S643" s="89"/>
      <c r="T643" s="89"/>
      <c r="U643" s="89"/>
      <c r="V643" s="89"/>
      <c r="W643" s="89"/>
      <c r="X643" s="89"/>
      <c r="Y643" s="89"/>
      <c r="Z643" s="89"/>
      <c r="AA643" s="89"/>
      <c r="AB643" s="89"/>
      <c r="AC643" s="89"/>
      <c r="AD643" s="89"/>
    </row>
    <row r="644" spans="18:30" x14ac:dyDescent="0.3">
      <c r="R644" s="89"/>
      <c r="S644" s="89"/>
      <c r="T644" s="89"/>
      <c r="U644" s="89"/>
      <c r="V644" s="89"/>
      <c r="W644" s="89"/>
      <c r="X644" s="89"/>
      <c r="Y644" s="89"/>
      <c r="Z644" s="89"/>
      <c r="AA644" s="89"/>
      <c r="AB644" s="89"/>
      <c r="AC644" s="89"/>
      <c r="AD644" s="89"/>
    </row>
    <row r="645" spans="18:30" x14ac:dyDescent="0.3">
      <c r="R645" s="89"/>
      <c r="S645" s="89"/>
      <c r="T645" s="89"/>
      <c r="U645" s="89"/>
      <c r="V645" s="89"/>
      <c r="W645" s="89"/>
      <c r="X645" s="89"/>
      <c r="Y645" s="89"/>
      <c r="Z645" s="89"/>
      <c r="AA645" s="89"/>
      <c r="AB645" s="89"/>
      <c r="AC645" s="89"/>
      <c r="AD645" s="89"/>
    </row>
    <row r="646" spans="18:30" x14ac:dyDescent="0.3">
      <c r="R646" s="89"/>
      <c r="S646" s="89"/>
      <c r="T646" s="89"/>
      <c r="U646" s="89"/>
      <c r="V646" s="89"/>
      <c r="W646" s="89"/>
      <c r="X646" s="89"/>
      <c r="Y646" s="89"/>
      <c r="Z646" s="89"/>
      <c r="AA646" s="89"/>
      <c r="AB646" s="89"/>
      <c r="AC646" s="89"/>
      <c r="AD646" s="89"/>
    </row>
    <row r="647" spans="18:30" x14ac:dyDescent="0.3">
      <c r="R647" s="89"/>
      <c r="S647" s="89"/>
      <c r="T647" s="89"/>
      <c r="U647" s="89"/>
      <c r="V647" s="89"/>
      <c r="W647" s="89"/>
      <c r="X647" s="89"/>
      <c r="Y647" s="89"/>
      <c r="Z647" s="89"/>
      <c r="AA647" s="89"/>
      <c r="AB647" s="89"/>
      <c r="AC647" s="89"/>
      <c r="AD647" s="89"/>
    </row>
    <row r="648" spans="18:30" x14ac:dyDescent="0.3">
      <c r="R648" s="89"/>
      <c r="S648" s="89"/>
      <c r="T648" s="89"/>
      <c r="U648" s="89"/>
      <c r="V648" s="89"/>
      <c r="W648" s="89"/>
      <c r="X648" s="89"/>
      <c r="Y648" s="89"/>
      <c r="Z648" s="89"/>
      <c r="AA648" s="89"/>
      <c r="AB648" s="89"/>
      <c r="AC648" s="89"/>
      <c r="AD648" s="89"/>
    </row>
    <row r="649" spans="18:30" x14ac:dyDescent="0.3">
      <c r="R649" s="89"/>
      <c r="S649" s="89"/>
      <c r="T649" s="89"/>
      <c r="U649" s="89"/>
      <c r="V649" s="89"/>
      <c r="W649" s="89"/>
      <c r="X649" s="89"/>
      <c r="Y649" s="89"/>
      <c r="Z649" s="89"/>
      <c r="AA649" s="89"/>
      <c r="AB649" s="89"/>
      <c r="AC649" s="89"/>
      <c r="AD649" s="89"/>
    </row>
    <row r="650" spans="18:30" x14ac:dyDescent="0.3">
      <c r="R650" s="89"/>
      <c r="S650" s="89"/>
      <c r="T650" s="89"/>
      <c r="U650" s="89"/>
      <c r="V650" s="89"/>
      <c r="W650" s="89"/>
      <c r="X650" s="89"/>
      <c r="Y650" s="89"/>
      <c r="Z650" s="89"/>
      <c r="AA650" s="89"/>
      <c r="AB650" s="89"/>
      <c r="AC650" s="89"/>
      <c r="AD650" s="89"/>
    </row>
    <row r="651" spans="18:30" x14ac:dyDescent="0.3">
      <c r="R651" s="89"/>
      <c r="S651" s="89"/>
      <c r="T651" s="89"/>
      <c r="U651" s="89"/>
      <c r="V651" s="89"/>
      <c r="W651" s="89"/>
      <c r="X651" s="89"/>
      <c r="Y651" s="89"/>
      <c r="Z651" s="89"/>
      <c r="AA651" s="89"/>
      <c r="AB651" s="89"/>
      <c r="AC651" s="89"/>
      <c r="AD651" s="89"/>
    </row>
    <row r="652" spans="18:30" x14ac:dyDescent="0.3">
      <c r="R652" s="89"/>
      <c r="S652" s="89"/>
      <c r="T652" s="89"/>
      <c r="U652" s="89"/>
      <c r="V652" s="89"/>
      <c r="W652" s="89"/>
      <c r="X652" s="89"/>
      <c r="Y652" s="89"/>
      <c r="Z652" s="89"/>
      <c r="AA652" s="89"/>
      <c r="AB652" s="89"/>
      <c r="AC652" s="89"/>
      <c r="AD652" s="89"/>
    </row>
    <row r="653" spans="18:30" x14ac:dyDescent="0.3">
      <c r="R653" s="89"/>
      <c r="S653" s="89"/>
      <c r="T653" s="89"/>
      <c r="U653" s="89"/>
      <c r="V653" s="89"/>
      <c r="W653" s="89"/>
      <c r="X653" s="89"/>
      <c r="Y653" s="89"/>
      <c r="Z653" s="89"/>
      <c r="AA653" s="89"/>
      <c r="AB653" s="89"/>
      <c r="AC653" s="89"/>
      <c r="AD653" s="89"/>
    </row>
    <row r="654" spans="18:30" x14ac:dyDescent="0.3">
      <c r="R654" s="89"/>
      <c r="S654" s="89"/>
      <c r="T654" s="89"/>
      <c r="U654" s="89"/>
      <c r="V654" s="89"/>
      <c r="W654" s="89"/>
      <c r="X654" s="89"/>
      <c r="Y654" s="89"/>
      <c r="Z654" s="89"/>
      <c r="AA654" s="89"/>
      <c r="AB654" s="89"/>
      <c r="AC654" s="89"/>
      <c r="AD654" s="89"/>
    </row>
    <row r="655" spans="18:30" x14ac:dyDescent="0.3">
      <c r="R655" s="89"/>
      <c r="S655" s="89"/>
      <c r="T655" s="89"/>
      <c r="U655" s="89"/>
      <c r="V655" s="89"/>
      <c r="W655" s="89"/>
      <c r="X655" s="89"/>
      <c r="Y655" s="89"/>
      <c r="Z655" s="89"/>
      <c r="AA655" s="89"/>
      <c r="AB655" s="89"/>
      <c r="AC655" s="89"/>
      <c r="AD655" s="89"/>
    </row>
    <row r="656" spans="18:30" x14ac:dyDescent="0.3">
      <c r="R656" s="89"/>
      <c r="S656" s="89"/>
      <c r="T656" s="89"/>
      <c r="U656" s="89"/>
      <c r="V656" s="89"/>
      <c r="W656" s="89"/>
      <c r="X656" s="89"/>
      <c r="Y656" s="89"/>
      <c r="Z656" s="89"/>
      <c r="AA656" s="89"/>
      <c r="AB656" s="89"/>
      <c r="AC656" s="89"/>
      <c r="AD656" s="89"/>
    </row>
    <row r="657" spans="18:30" x14ac:dyDescent="0.3">
      <c r="R657" s="89"/>
      <c r="S657" s="89"/>
      <c r="T657" s="89"/>
      <c r="U657" s="89"/>
      <c r="V657" s="89"/>
      <c r="W657" s="89"/>
      <c r="X657" s="89"/>
      <c r="Y657" s="89"/>
      <c r="Z657" s="89"/>
      <c r="AA657" s="89"/>
      <c r="AB657" s="89"/>
      <c r="AC657" s="89"/>
      <c r="AD657" s="89"/>
    </row>
    <row r="658" spans="18:30" x14ac:dyDescent="0.3">
      <c r="R658" s="89"/>
      <c r="S658" s="89"/>
      <c r="T658" s="89"/>
      <c r="U658" s="89"/>
      <c r="V658" s="89"/>
      <c r="W658" s="89"/>
      <c r="X658" s="89"/>
      <c r="Y658" s="89"/>
      <c r="Z658" s="89"/>
      <c r="AA658" s="89"/>
      <c r="AB658" s="89"/>
      <c r="AC658" s="89"/>
      <c r="AD658" s="89"/>
    </row>
    <row r="659" spans="18:30" x14ac:dyDescent="0.3">
      <c r="R659" s="89"/>
      <c r="S659" s="89"/>
      <c r="T659" s="89"/>
      <c r="U659" s="89"/>
      <c r="V659" s="89"/>
      <c r="W659" s="89"/>
      <c r="X659" s="89"/>
      <c r="Y659" s="89"/>
      <c r="Z659" s="89"/>
      <c r="AA659" s="89"/>
      <c r="AB659" s="89"/>
      <c r="AC659" s="89"/>
      <c r="AD659" s="89"/>
    </row>
    <row r="660" spans="18:30" x14ac:dyDescent="0.3">
      <c r="R660" s="89"/>
      <c r="S660" s="89"/>
      <c r="T660" s="89"/>
      <c r="U660" s="89"/>
      <c r="V660" s="89"/>
      <c r="W660" s="89"/>
      <c r="X660" s="89"/>
      <c r="Y660" s="89"/>
      <c r="Z660" s="89"/>
      <c r="AA660" s="89"/>
      <c r="AB660" s="89"/>
      <c r="AC660" s="89"/>
      <c r="AD660" s="89"/>
    </row>
    <row r="661" spans="18:30" x14ac:dyDescent="0.3">
      <c r="R661" s="89"/>
      <c r="S661" s="89"/>
      <c r="T661" s="89"/>
      <c r="U661" s="89"/>
      <c r="V661" s="89"/>
      <c r="W661" s="89"/>
      <c r="X661" s="89"/>
      <c r="Y661" s="89"/>
      <c r="Z661" s="89"/>
      <c r="AA661" s="89"/>
      <c r="AB661" s="89"/>
      <c r="AC661" s="89"/>
      <c r="AD661" s="89"/>
    </row>
    <row r="662" spans="18:30" x14ac:dyDescent="0.3">
      <c r="R662" s="89"/>
      <c r="S662" s="89"/>
      <c r="T662" s="89"/>
      <c r="U662" s="89"/>
      <c r="V662" s="89"/>
      <c r="W662" s="89"/>
      <c r="X662" s="89"/>
      <c r="Y662" s="89"/>
      <c r="Z662" s="89"/>
      <c r="AA662" s="89"/>
      <c r="AB662" s="89"/>
      <c r="AC662" s="89"/>
      <c r="AD662" s="89"/>
    </row>
    <row r="663" spans="18:30" x14ac:dyDescent="0.3">
      <c r="R663" s="89"/>
      <c r="S663" s="89"/>
      <c r="T663" s="89"/>
      <c r="U663" s="89"/>
      <c r="V663" s="89"/>
      <c r="W663" s="89"/>
      <c r="X663" s="89"/>
      <c r="Y663" s="89"/>
      <c r="Z663" s="89"/>
      <c r="AA663" s="89"/>
      <c r="AB663" s="89"/>
      <c r="AC663" s="89"/>
      <c r="AD663" s="89"/>
    </row>
    <row r="664" spans="18:30" x14ac:dyDescent="0.3">
      <c r="R664" s="89"/>
      <c r="S664" s="89"/>
      <c r="T664" s="89"/>
      <c r="U664" s="89"/>
      <c r="V664" s="89"/>
      <c r="W664" s="89"/>
      <c r="X664" s="89"/>
      <c r="Y664" s="89"/>
      <c r="Z664" s="89"/>
      <c r="AA664" s="89"/>
      <c r="AB664" s="89"/>
      <c r="AC664" s="89"/>
      <c r="AD664" s="89"/>
    </row>
    <row r="665" spans="18:30" x14ac:dyDescent="0.3">
      <c r="R665" s="89"/>
      <c r="S665" s="89"/>
      <c r="T665" s="89"/>
      <c r="U665" s="89"/>
      <c r="V665" s="89"/>
      <c r="W665" s="89"/>
      <c r="X665" s="89"/>
      <c r="Y665" s="89"/>
      <c r="Z665" s="89"/>
      <c r="AA665" s="89"/>
      <c r="AB665" s="89"/>
      <c r="AC665" s="89"/>
      <c r="AD665" s="89"/>
    </row>
    <row r="666" spans="18:30" x14ac:dyDescent="0.3">
      <c r="R666" s="89"/>
      <c r="S666" s="89"/>
      <c r="T666" s="89"/>
      <c r="U666" s="89"/>
      <c r="V666" s="89"/>
      <c r="W666" s="89"/>
      <c r="X666" s="89"/>
      <c r="Y666" s="89"/>
      <c r="Z666" s="89"/>
      <c r="AA666" s="89"/>
      <c r="AB666" s="89"/>
      <c r="AC666" s="89"/>
      <c r="AD666" s="89"/>
    </row>
    <row r="667" spans="18:30" x14ac:dyDescent="0.3">
      <c r="R667" s="89"/>
      <c r="S667" s="89"/>
      <c r="T667" s="89"/>
      <c r="U667" s="89"/>
      <c r="V667" s="89"/>
      <c r="W667" s="89"/>
      <c r="X667" s="89"/>
      <c r="Y667" s="89"/>
      <c r="Z667" s="89"/>
      <c r="AA667" s="89"/>
      <c r="AB667" s="89"/>
      <c r="AC667" s="89"/>
      <c r="AD667" s="89"/>
    </row>
    <row r="668" spans="18:30" x14ac:dyDescent="0.3">
      <c r="R668" s="89"/>
      <c r="S668" s="89"/>
      <c r="T668" s="89"/>
      <c r="U668" s="89"/>
      <c r="V668" s="89"/>
      <c r="W668" s="89"/>
      <c r="X668" s="89"/>
      <c r="Y668" s="89"/>
      <c r="Z668" s="89"/>
      <c r="AA668" s="89"/>
      <c r="AB668" s="89"/>
      <c r="AC668" s="89"/>
      <c r="AD668" s="89"/>
    </row>
    <row r="669" spans="18:30" x14ac:dyDescent="0.3">
      <c r="R669" s="89"/>
      <c r="S669" s="89"/>
      <c r="T669" s="89"/>
      <c r="U669" s="89"/>
      <c r="V669" s="89"/>
      <c r="W669" s="89"/>
      <c r="X669" s="89"/>
      <c r="Y669" s="89"/>
      <c r="Z669" s="89"/>
      <c r="AA669" s="89"/>
      <c r="AB669" s="89"/>
      <c r="AC669" s="89"/>
      <c r="AD669" s="89"/>
    </row>
    <row r="670" spans="18:30" x14ac:dyDescent="0.3">
      <c r="R670" s="89"/>
      <c r="S670" s="89"/>
      <c r="T670" s="89"/>
      <c r="U670" s="89"/>
      <c r="V670" s="89"/>
      <c r="W670" s="89"/>
      <c r="X670" s="89"/>
      <c r="Y670" s="89"/>
      <c r="Z670" s="89"/>
      <c r="AA670" s="89"/>
      <c r="AB670" s="89"/>
      <c r="AC670" s="89"/>
      <c r="AD670" s="89"/>
    </row>
    <row r="671" spans="18:30" x14ac:dyDescent="0.3">
      <c r="R671" s="89"/>
      <c r="S671" s="89"/>
      <c r="T671" s="89"/>
      <c r="U671" s="89"/>
      <c r="V671" s="89"/>
      <c r="W671" s="89"/>
      <c r="X671" s="89"/>
      <c r="Y671" s="89"/>
      <c r="Z671" s="89"/>
      <c r="AA671" s="89"/>
      <c r="AB671" s="89"/>
      <c r="AC671" s="89"/>
      <c r="AD671" s="89"/>
    </row>
    <row r="672" spans="18:30" x14ac:dyDescent="0.3">
      <c r="R672" s="89"/>
      <c r="S672" s="89"/>
      <c r="T672" s="89"/>
      <c r="U672" s="89"/>
      <c r="V672" s="89"/>
      <c r="W672" s="89"/>
      <c r="X672" s="89"/>
      <c r="Y672" s="89"/>
      <c r="Z672" s="89"/>
      <c r="AA672" s="89"/>
      <c r="AB672" s="89"/>
      <c r="AC672" s="89"/>
      <c r="AD672" s="89"/>
    </row>
    <row r="673" spans="18:30" x14ac:dyDescent="0.3">
      <c r="R673" s="89"/>
      <c r="S673" s="89"/>
      <c r="T673" s="89"/>
      <c r="U673" s="89"/>
      <c r="V673" s="89"/>
      <c r="W673" s="89"/>
      <c r="X673" s="89"/>
      <c r="Y673" s="89"/>
      <c r="Z673" s="89"/>
      <c r="AA673" s="89"/>
      <c r="AB673" s="89"/>
      <c r="AC673" s="89"/>
      <c r="AD673" s="89"/>
    </row>
    <row r="674" spans="18:30" x14ac:dyDescent="0.3">
      <c r="R674" s="89"/>
      <c r="S674" s="89"/>
      <c r="T674" s="89"/>
      <c r="U674" s="89"/>
      <c r="V674" s="89"/>
      <c r="W674" s="89"/>
      <c r="X674" s="89"/>
      <c r="Y674" s="89"/>
      <c r="Z674" s="89"/>
      <c r="AA674" s="89"/>
      <c r="AB674" s="89"/>
      <c r="AC674" s="89"/>
      <c r="AD674" s="89"/>
    </row>
    <row r="675" spans="18:30" x14ac:dyDescent="0.3">
      <c r="R675" s="89"/>
      <c r="S675" s="89"/>
      <c r="T675" s="89"/>
      <c r="U675" s="89"/>
      <c r="V675" s="89"/>
      <c r="W675" s="89"/>
      <c r="X675" s="89"/>
      <c r="Y675" s="89"/>
      <c r="Z675" s="89"/>
      <c r="AA675" s="89"/>
      <c r="AB675" s="89"/>
      <c r="AC675" s="89"/>
      <c r="AD675" s="89"/>
    </row>
    <row r="676" spans="18:30" x14ac:dyDescent="0.3">
      <c r="R676" s="89"/>
      <c r="S676" s="89"/>
      <c r="T676" s="89"/>
      <c r="U676" s="89"/>
      <c r="V676" s="89"/>
      <c r="W676" s="89"/>
      <c r="X676" s="89"/>
      <c r="Y676" s="89"/>
      <c r="Z676" s="89"/>
      <c r="AA676" s="89"/>
      <c r="AB676" s="89"/>
      <c r="AC676" s="89"/>
      <c r="AD676" s="89"/>
    </row>
    <row r="677" spans="18:30" x14ac:dyDescent="0.3">
      <c r="R677" s="89"/>
      <c r="S677" s="89"/>
      <c r="T677" s="89"/>
      <c r="U677" s="89"/>
      <c r="V677" s="89"/>
      <c r="W677" s="89"/>
      <c r="X677" s="89"/>
      <c r="Y677" s="89"/>
      <c r="Z677" s="89"/>
      <c r="AA677" s="89"/>
      <c r="AB677" s="89"/>
      <c r="AC677" s="89"/>
      <c r="AD677" s="89"/>
    </row>
    <row r="678" spans="18:30" x14ac:dyDescent="0.3">
      <c r="R678" s="89"/>
      <c r="S678" s="89"/>
      <c r="T678" s="89"/>
      <c r="U678" s="89"/>
      <c r="V678" s="89"/>
      <c r="W678" s="89"/>
      <c r="X678" s="89"/>
      <c r="Y678" s="89"/>
      <c r="Z678" s="89"/>
      <c r="AA678" s="89"/>
      <c r="AB678" s="89"/>
      <c r="AC678" s="89"/>
      <c r="AD678" s="89"/>
    </row>
    <row r="679" spans="18:30" x14ac:dyDescent="0.3">
      <c r="R679" s="89"/>
      <c r="S679" s="89"/>
      <c r="T679" s="89"/>
      <c r="U679" s="89"/>
      <c r="V679" s="89"/>
      <c r="W679" s="89"/>
      <c r="X679" s="89"/>
      <c r="Y679" s="89"/>
      <c r="Z679" s="89"/>
      <c r="AA679" s="89"/>
      <c r="AB679" s="89"/>
      <c r="AC679" s="89"/>
      <c r="AD679" s="89"/>
    </row>
    <row r="680" spans="18:30" x14ac:dyDescent="0.3">
      <c r="R680" s="89"/>
      <c r="S680" s="89"/>
      <c r="T680" s="89"/>
      <c r="U680" s="89"/>
      <c r="V680" s="89"/>
      <c r="W680" s="89"/>
      <c r="X680" s="89"/>
      <c r="Y680" s="89"/>
      <c r="Z680" s="89"/>
      <c r="AA680" s="89"/>
      <c r="AB680" s="89"/>
      <c r="AC680" s="89"/>
      <c r="AD680" s="89"/>
    </row>
    <row r="681" spans="18:30" x14ac:dyDescent="0.3">
      <c r="R681" s="89"/>
      <c r="S681" s="89"/>
      <c r="T681" s="89"/>
      <c r="U681" s="89"/>
      <c r="V681" s="89"/>
      <c r="W681" s="89"/>
      <c r="X681" s="89"/>
      <c r="Y681" s="89"/>
      <c r="Z681" s="89"/>
      <c r="AA681" s="89"/>
      <c r="AB681" s="89"/>
      <c r="AC681" s="89"/>
      <c r="AD681" s="89"/>
    </row>
    <row r="682" spans="18:30" x14ac:dyDescent="0.3">
      <c r="R682" s="89"/>
      <c r="S682" s="89"/>
      <c r="T682" s="89"/>
      <c r="U682" s="89"/>
      <c r="V682" s="89"/>
      <c r="W682" s="89"/>
      <c r="X682" s="89"/>
      <c r="Y682" s="89"/>
      <c r="Z682" s="89"/>
      <c r="AA682" s="89"/>
      <c r="AB682" s="89"/>
      <c r="AC682" s="89"/>
      <c r="AD682" s="89"/>
    </row>
    <row r="683" spans="18:30" x14ac:dyDescent="0.3">
      <c r="R683" s="89"/>
      <c r="S683" s="89"/>
      <c r="T683" s="89"/>
      <c r="U683" s="89"/>
      <c r="V683" s="89"/>
      <c r="W683" s="89"/>
      <c r="X683" s="89"/>
      <c r="Y683" s="89"/>
      <c r="Z683" s="89"/>
      <c r="AA683" s="89"/>
      <c r="AB683" s="89"/>
      <c r="AC683" s="89"/>
      <c r="AD683" s="89"/>
    </row>
    <row r="684" spans="18:30" x14ac:dyDescent="0.3">
      <c r="R684" s="89"/>
      <c r="S684" s="89"/>
      <c r="T684" s="89"/>
      <c r="U684" s="89"/>
      <c r="V684" s="89"/>
      <c r="W684" s="89"/>
      <c r="X684" s="89"/>
      <c r="Y684" s="89"/>
      <c r="Z684" s="89"/>
      <c r="AA684" s="89"/>
      <c r="AB684" s="89"/>
      <c r="AC684" s="89"/>
      <c r="AD684" s="89"/>
    </row>
    <row r="685" spans="18:30" x14ac:dyDescent="0.3">
      <c r="R685" s="89"/>
      <c r="S685" s="89"/>
      <c r="T685" s="89"/>
      <c r="U685" s="89"/>
      <c r="V685" s="89"/>
      <c r="W685" s="89"/>
      <c r="X685" s="89"/>
      <c r="Y685" s="89"/>
      <c r="Z685" s="89"/>
      <c r="AA685" s="89"/>
      <c r="AB685" s="89"/>
      <c r="AC685" s="89"/>
      <c r="AD685" s="89"/>
    </row>
    <row r="686" spans="18:30" x14ac:dyDescent="0.3">
      <c r="R686" s="89"/>
      <c r="S686" s="89"/>
      <c r="T686" s="89"/>
      <c r="U686" s="89"/>
      <c r="V686" s="89"/>
      <c r="W686" s="89"/>
      <c r="X686" s="89"/>
      <c r="Y686" s="89"/>
      <c r="Z686" s="89"/>
      <c r="AA686" s="89"/>
      <c r="AB686" s="89"/>
      <c r="AC686" s="89"/>
      <c r="AD686" s="89"/>
    </row>
    <row r="687" spans="18:30" x14ac:dyDescent="0.3">
      <c r="R687" s="89"/>
      <c r="S687" s="89"/>
      <c r="T687" s="89"/>
      <c r="U687" s="89"/>
      <c r="V687" s="89"/>
      <c r="W687" s="89"/>
      <c r="X687" s="89"/>
      <c r="Y687" s="89"/>
      <c r="Z687" s="89"/>
      <c r="AA687" s="89"/>
      <c r="AB687" s="89"/>
      <c r="AC687" s="89"/>
      <c r="AD687" s="89"/>
    </row>
    <row r="688" spans="18:30" x14ac:dyDescent="0.3">
      <c r="R688" s="89"/>
      <c r="S688" s="89"/>
      <c r="T688" s="89"/>
      <c r="U688" s="89"/>
      <c r="V688" s="89"/>
      <c r="W688" s="89"/>
      <c r="X688" s="89"/>
      <c r="Y688" s="89"/>
      <c r="Z688" s="89"/>
      <c r="AA688" s="89"/>
      <c r="AB688" s="89"/>
      <c r="AC688" s="89"/>
      <c r="AD688" s="89"/>
    </row>
    <row r="689" spans="18:30" x14ac:dyDescent="0.3">
      <c r="R689" s="89"/>
      <c r="S689" s="89"/>
      <c r="T689" s="89"/>
      <c r="U689" s="89"/>
      <c r="V689" s="89"/>
      <c r="W689" s="89"/>
      <c r="X689" s="89"/>
      <c r="Y689" s="89"/>
      <c r="Z689" s="89"/>
      <c r="AA689" s="89"/>
      <c r="AB689" s="89"/>
      <c r="AC689" s="89"/>
      <c r="AD689" s="89"/>
    </row>
    <row r="690" spans="18:30" x14ac:dyDescent="0.3">
      <c r="R690" s="89"/>
      <c r="S690" s="89"/>
      <c r="T690" s="89"/>
      <c r="U690" s="89"/>
      <c r="V690" s="89"/>
      <c r="W690" s="89"/>
      <c r="X690" s="89"/>
      <c r="Y690" s="89"/>
      <c r="Z690" s="89"/>
      <c r="AA690" s="89"/>
      <c r="AB690" s="89"/>
      <c r="AC690" s="89"/>
      <c r="AD690" s="89"/>
    </row>
    <row r="691" spans="18:30" x14ac:dyDescent="0.3">
      <c r="R691" s="89"/>
      <c r="S691" s="89"/>
      <c r="T691" s="89"/>
      <c r="U691" s="89"/>
      <c r="V691" s="89"/>
      <c r="W691" s="89"/>
      <c r="X691" s="89"/>
      <c r="Y691" s="89"/>
      <c r="Z691" s="89"/>
      <c r="AA691" s="89"/>
      <c r="AB691" s="89"/>
      <c r="AC691" s="89"/>
      <c r="AD691" s="89"/>
    </row>
    <row r="692" spans="18:30" x14ac:dyDescent="0.3">
      <c r="R692" s="89"/>
      <c r="S692" s="89"/>
      <c r="T692" s="89"/>
      <c r="U692" s="89"/>
      <c r="V692" s="89"/>
      <c r="W692" s="89"/>
      <c r="X692" s="89"/>
      <c r="Y692" s="89"/>
      <c r="Z692" s="89"/>
      <c r="AA692" s="89"/>
      <c r="AB692" s="89"/>
      <c r="AC692" s="89"/>
      <c r="AD692" s="89"/>
    </row>
    <row r="693" spans="18:30" x14ac:dyDescent="0.3">
      <c r="R693" s="89"/>
      <c r="S693" s="89"/>
      <c r="T693" s="89"/>
      <c r="U693" s="89"/>
      <c r="V693" s="89"/>
      <c r="W693" s="89"/>
      <c r="X693" s="89"/>
      <c r="Y693" s="89"/>
      <c r="Z693" s="89"/>
      <c r="AA693" s="89"/>
      <c r="AB693" s="89"/>
      <c r="AC693" s="89"/>
      <c r="AD693" s="89"/>
    </row>
    <row r="694" spans="18:30" x14ac:dyDescent="0.3">
      <c r="R694" s="89"/>
      <c r="S694" s="89"/>
      <c r="T694" s="89"/>
      <c r="U694" s="89"/>
      <c r="V694" s="89"/>
      <c r="W694" s="89"/>
      <c r="X694" s="89"/>
      <c r="Y694" s="89"/>
      <c r="Z694" s="89"/>
      <c r="AA694" s="89"/>
      <c r="AB694" s="89"/>
      <c r="AC694" s="89"/>
      <c r="AD694" s="89"/>
    </row>
    <row r="695" spans="18:30" x14ac:dyDescent="0.3">
      <c r="R695" s="89"/>
      <c r="S695" s="89"/>
      <c r="T695" s="89"/>
      <c r="U695" s="89"/>
      <c r="V695" s="89"/>
      <c r="W695" s="89"/>
      <c r="X695" s="89"/>
      <c r="Y695" s="89"/>
      <c r="Z695" s="89"/>
      <c r="AA695" s="89"/>
      <c r="AB695" s="89"/>
      <c r="AC695" s="89"/>
      <c r="AD695" s="89"/>
    </row>
    <row r="696" spans="18:30" x14ac:dyDescent="0.3">
      <c r="R696" s="89"/>
      <c r="S696" s="89"/>
      <c r="T696" s="89"/>
      <c r="U696" s="89"/>
      <c r="V696" s="89"/>
      <c r="W696" s="89"/>
      <c r="X696" s="89"/>
      <c r="Y696" s="89"/>
      <c r="Z696" s="89"/>
      <c r="AA696" s="89"/>
      <c r="AB696" s="89"/>
      <c r="AC696" s="89"/>
      <c r="AD696" s="89"/>
    </row>
    <row r="697" spans="18:30" x14ac:dyDescent="0.3">
      <c r="R697" s="89"/>
      <c r="S697" s="89"/>
      <c r="T697" s="89"/>
      <c r="U697" s="89"/>
      <c r="V697" s="89"/>
      <c r="W697" s="89"/>
      <c r="X697" s="89"/>
      <c r="Y697" s="89"/>
      <c r="Z697" s="89"/>
      <c r="AA697" s="89"/>
      <c r="AB697" s="89"/>
      <c r="AC697" s="89"/>
      <c r="AD697" s="89"/>
    </row>
    <row r="698" spans="18:30" x14ac:dyDescent="0.3">
      <c r="R698" s="89"/>
      <c r="S698" s="89"/>
      <c r="T698" s="89"/>
      <c r="U698" s="89"/>
      <c r="V698" s="89"/>
      <c r="W698" s="89"/>
      <c r="X698" s="89"/>
      <c r="Y698" s="89"/>
      <c r="Z698" s="89"/>
      <c r="AA698" s="89"/>
      <c r="AB698" s="89"/>
      <c r="AC698" s="89"/>
      <c r="AD698" s="89"/>
    </row>
    <row r="699" spans="18:30" x14ac:dyDescent="0.3">
      <c r="R699" s="89"/>
      <c r="S699" s="89"/>
      <c r="T699" s="89"/>
      <c r="U699" s="89"/>
      <c r="V699" s="89"/>
      <c r="W699" s="89"/>
      <c r="X699" s="89"/>
      <c r="Y699" s="89"/>
      <c r="Z699" s="89"/>
      <c r="AA699" s="89"/>
      <c r="AB699" s="89"/>
      <c r="AC699" s="89"/>
      <c r="AD699" s="89"/>
    </row>
    <row r="700" spans="18:30" x14ac:dyDescent="0.3">
      <c r="R700" s="89"/>
      <c r="S700" s="89"/>
      <c r="T700" s="89"/>
      <c r="U700" s="89"/>
      <c r="V700" s="89"/>
      <c r="W700" s="89"/>
      <c r="X700" s="89"/>
      <c r="Y700" s="89"/>
      <c r="Z700" s="89"/>
      <c r="AA700" s="89"/>
      <c r="AB700" s="89"/>
      <c r="AC700" s="89"/>
      <c r="AD700" s="89"/>
    </row>
    <row r="701" spans="18:30" x14ac:dyDescent="0.3">
      <c r="R701" s="89"/>
      <c r="S701" s="89"/>
      <c r="T701" s="89"/>
      <c r="U701" s="89"/>
      <c r="V701" s="89"/>
      <c r="W701" s="89"/>
      <c r="X701" s="89"/>
      <c r="Y701" s="89"/>
      <c r="Z701" s="89"/>
      <c r="AA701" s="89"/>
      <c r="AB701" s="89"/>
      <c r="AC701" s="89"/>
      <c r="AD701" s="89"/>
    </row>
    <row r="702" spans="18:30" x14ac:dyDescent="0.3">
      <c r="R702" s="89"/>
      <c r="S702" s="89"/>
      <c r="T702" s="89"/>
      <c r="U702" s="89"/>
      <c r="V702" s="89"/>
      <c r="W702" s="89"/>
      <c r="X702" s="89"/>
      <c r="Y702" s="89"/>
      <c r="Z702" s="89"/>
      <c r="AA702" s="89"/>
      <c r="AB702" s="89"/>
      <c r="AC702" s="89"/>
      <c r="AD702" s="89"/>
    </row>
    <row r="703" spans="18:30" x14ac:dyDescent="0.3">
      <c r="R703" s="89"/>
      <c r="S703" s="89"/>
      <c r="T703" s="89"/>
      <c r="U703" s="89"/>
      <c r="V703" s="89"/>
      <c r="W703" s="89"/>
      <c r="X703" s="89"/>
      <c r="Y703" s="89"/>
      <c r="Z703" s="89"/>
      <c r="AA703" s="89"/>
      <c r="AB703" s="89"/>
      <c r="AC703" s="89"/>
      <c r="AD703" s="89"/>
    </row>
    <row r="704" spans="18:30" x14ac:dyDescent="0.3">
      <c r="R704" s="89"/>
      <c r="S704" s="89"/>
      <c r="T704" s="89"/>
      <c r="U704" s="89"/>
      <c r="V704" s="89"/>
      <c r="W704" s="89"/>
      <c r="X704" s="89"/>
      <c r="Y704" s="89"/>
      <c r="Z704" s="89"/>
      <c r="AA704" s="89"/>
      <c r="AB704" s="89"/>
      <c r="AC704" s="89"/>
      <c r="AD704" s="89"/>
    </row>
    <row r="705" spans="18:30" x14ac:dyDescent="0.3">
      <c r="R705" s="89"/>
      <c r="S705" s="89"/>
      <c r="T705" s="89"/>
      <c r="U705" s="89"/>
      <c r="V705" s="89"/>
      <c r="W705" s="89"/>
      <c r="X705" s="89"/>
      <c r="Y705" s="89"/>
      <c r="Z705" s="89"/>
      <c r="AA705" s="89"/>
      <c r="AB705" s="89"/>
      <c r="AC705" s="89"/>
      <c r="AD705" s="89"/>
    </row>
    <row r="706" spans="18:30" x14ac:dyDescent="0.3">
      <c r="R706" s="89"/>
      <c r="S706" s="89"/>
      <c r="T706" s="89"/>
      <c r="U706" s="89"/>
      <c r="V706" s="89"/>
      <c r="W706" s="89"/>
      <c r="X706" s="89"/>
      <c r="Y706" s="89"/>
      <c r="Z706" s="89"/>
      <c r="AA706" s="89"/>
      <c r="AB706" s="89"/>
      <c r="AC706" s="89"/>
      <c r="AD706" s="89"/>
    </row>
    <row r="707" spans="18:30" x14ac:dyDescent="0.3">
      <c r="R707" s="89"/>
      <c r="S707" s="89"/>
      <c r="T707" s="89"/>
      <c r="U707" s="89"/>
      <c r="V707" s="89"/>
      <c r="W707" s="89"/>
      <c r="X707" s="89"/>
      <c r="Y707" s="89"/>
      <c r="Z707" s="89"/>
      <c r="AA707" s="89"/>
      <c r="AB707" s="89"/>
      <c r="AC707" s="89"/>
      <c r="AD707" s="89"/>
    </row>
    <row r="708" spans="18:30" x14ac:dyDescent="0.3">
      <c r="R708" s="89"/>
      <c r="S708" s="89"/>
      <c r="T708" s="89"/>
      <c r="U708" s="89"/>
      <c r="V708" s="89"/>
      <c r="W708" s="89"/>
      <c r="X708" s="89"/>
      <c r="Y708" s="89"/>
      <c r="Z708" s="89"/>
      <c r="AA708" s="89"/>
      <c r="AB708" s="89"/>
      <c r="AC708" s="89"/>
      <c r="AD708" s="89"/>
    </row>
    <row r="709" spans="18:30" x14ac:dyDescent="0.3">
      <c r="R709" s="89"/>
      <c r="S709" s="89"/>
      <c r="T709" s="89"/>
      <c r="U709" s="89"/>
      <c r="V709" s="89"/>
      <c r="W709" s="89"/>
      <c r="X709" s="89"/>
      <c r="Y709" s="89"/>
      <c r="Z709" s="89"/>
      <c r="AA709" s="89"/>
      <c r="AB709" s="89"/>
      <c r="AC709" s="89"/>
      <c r="AD709" s="89"/>
    </row>
    <row r="710" spans="18:30" x14ac:dyDescent="0.3">
      <c r="R710" s="89"/>
      <c r="S710" s="89"/>
      <c r="T710" s="89"/>
      <c r="U710" s="89"/>
      <c r="V710" s="89"/>
      <c r="W710" s="89"/>
      <c r="X710" s="89"/>
      <c r="Y710" s="89"/>
      <c r="Z710" s="89"/>
      <c r="AA710" s="89"/>
      <c r="AB710" s="89"/>
      <c r="AC710" s="89"/>
      <c r="AD710" s="89"/>
    </row>
    <row r="711" spans="18:30" x14ac:dyDescent="0.3">
      <c r="R711" s="89"/>
      <c r="S711" s="89"/>
      <c r="T711" s="89"/>
      <c r="U711" s="89"/>
      <c r="V711" s="89"/>
      <c r="W711" s="89"/>
      <c r="X711" s="89"/>
      <c r="Y711" s="89"/>
      <c r="Z711" s="89"/>
      <c r="AA711" s="89"/>
      <c r="AB711" s="89"/>
      <c r="AC711" s="89"/>
      <c r="AD711" s="89"/>
    </row>
    <row r="712" spans="18:30" x14ac:dyDescent="0.3">
      <c r="R712" s="89"/>
      <c r="S712" s="89"/>
      <c r="T712" s="89"/>
      <c r="U712" s="89"/>
      <c r="V712" s="89"/>
      <c r="W712" s="89"/>
      <c r="X712" s="89"/>
      <c r="Y712" s="89"/>
      <c r="Z712" s="89"/>
      <c r="AA712" s="89"/>
      <c r="AB712" s="89"/>
      <c r="AC712" s="89"/>
      <c r="AD712" s="89"/>
    </row>
    <row r="713" spans="18:30" x14ac:dyDescent="0.3">
      <c r="R713" s="89"/>
      <c r="S713" s="89"/>
      <c r="T713" s="89"/>
      <c r="U713" s="89"/>
      <c r="V713" s="89"/>
      <c r="W713" s="89"/>
      <c r="X713" s="89"/>
      <c r="Y713" s="89"/>
      <c r="Z713" s="89"/>
      <c r="AA713" s="89"/>
      <c r="AB713" s="89"/>
      <c r="AC713" s="89"/>
      <c r="AD713" s="89"/>
    </row>
    <row r="714" spans="18:30" x14ac:dyDescent="0.3">
      <c r="R714" s="89"/>
      <c r="S714" s="89"/>
      <c r="T714" s="89"/>
      <c r="U714" s="89"/>
      <c r="V714" s="89"/>
      <c r="W714" s="89"/>
      <c r="X714" s="89"/>
      <c r="Y714" s="89"/>
      <c r="Z714" s="89"/>
      <c r="AA714" s="89"/>
      <c r="AB714" s="89"/>
      <c r="AC714" s="89"/>
      <c r="AD714" s="89"/>
    </row>
    <row r="715" spans="18:30" x14ac:dyDescent="0.3">
      <c r="R715" s="89"/>
      <c r="S715" s="89"/>
      <c r="T715" s="89"/>
      <c r="U715" s="89"/>
      <c r="V715" s="89"/>
      <c r="W715" s="89"/>
      <c r="X715" s="89"/>
      <c r="Y715" s="89"/>
      <c r="Z715" s="89"/>
      <c r="AA715" s="89"/>
      <c r="AB715" s="89"/>
      <c r="AC715" s="89"/>
      <c r="AD715" s="89"/>
    </row>
    <row r="716" spans="18:30" x14ac:dyDescent="0.3">
      <c r="R716" s="89"/>
      <c r="S716" s="89"/>
      <c r="T716" s="89"/>
      <c r="U716" s="89"/>
      <c r="V716" s="89"/>
      <c r="W716" s="89"/>
      <c r="X716" s="89"/>
      <c r="Y716" s="89"/>
      <c r="Z716" s="89"/>
      <c r="AA716" s="89"/>
      <c r="AB716" s="89"/>
      <c r="AC716" s="89"/>
      <c r="AD716" s="89"/>
    </row>
    <row r="717" spans="18:30" x14ac:dyDescent="0.3">
      <c r="R717" s="89"/>
      <c r="S717" s="89"/>
      <c r="T717" s="89"/>
      <c r="U717" s="89"/>
      <c r="V717" s="89"/>
      <c r="W717" s="89"/>
      <c r="X717" s="89"/>
      <c r="Y717" s="89"/>
      <c r="Z717" s="89"/>
      <c r="AA717" s="89"/>
      <c r="AB717" s="89"/>
      <c r="AC717" s="89"/>
      <c r="AD717" s="89"/>
    </row>
    <row r="718" spans="18:30" x14ac:dyDescent="0.3">
      <c r="R718" s="89"/>
      <c r="S718" s="89"/>
      <c r="T718" s="89"/>
      <c r="U718" s="89"/>
      <c r="V718" s="89"/>
      <c r="W718" s="89"/>
      <c r="X718" s="89"/>
      <c r="Y718" s="89"/>
      <c r="Z718" s="89"/>
      <c r="AA718" s="89"/>
      <c r="AB718" s="89"/>
      <c r="AC718" s="89"/>
      <c r="AD718" s="89"/>
    </row>
    <row r="719" spans="18:30" x14ac:dyDescent="0.3">
      <c r="R719" s="89"/>
      <c r="S719" s="89"/>
      <c r="T719" s="89"/>
      <c r="U719" s="89"/>
      <c r="V719" s="89"/>
      <c r="W719" s="89"/>
      <c r="X719" s="89"/>
      <c r="Y719" s="89"/>
      <c r="Z719" s="89"/>
      <c r="AA719" s="89"/>
      <c r="AB719" s="89"/>
      <c r="AC719" s="89"/>
      <c r="AD719" s="89"/>
    </row>
    <row r="720" spans="18:30" x14ac:dyDescent="0.3">
      <c r="R720" s="89"/>
      <c r="S720" s="89"/>
      <c r="T720" s="89"/>
      <c r="U720" s="89"/>
      <c r="V720" s="89"/>
      <c r="W720" s="89"/>
      <c r="X720" s="89"/>
      <c r="Y720" s="89"/>
      <c r="Z720" s="89"/>
      <c r="AA720" s="89"/>
      <c r="AB720" s="89"/>
      <c r="AC720" s="89"/>
      <c r="AD720" s="89"/>
    </row>
    <row r="721" spans="18:30" x14ac:dyDescent="0.3">
      <c r="R721" s="89"/>
      <c r="S721" s="89"/>
      <c r="T721" s="89"/>
      <c r="U721" s="89"/>
      <c r="V721" s="89"/>
      <c r="W721" s="89"/>
      <c r="X721" s="89"/>
      <c r="Y721" s="89"/>
      <c r="Z721" s="89"/>
      <c r="AA721" s="89"/>
      <c r="AB721" s="89"/>
      <c r="AC721" s="89"/>
      <c r="AD721" s="89"/>
    </row>
    <row r="722" spans="18:30" x14ac:dyDescent="0.3">
      <c r="R722" s="89"/>
      <c r="S722" s="89"/>
      <c r="T722" s="89"/>
      <c r="U722" s="89"/>
      <c r="V722" s="89"/>
      <c r="W722" s="89"/>
      <c r="X722" s="89"/>
      <c r="Y722" s="89"/>
      <c r="Z722" s="89"/>
      <c r="AA722" s="89"/>
      <c r="AB722" s="89"/>
      <c r="AC722" s="89"/>
      <c r="AD722" s="89"/>
    </row>
    <row r="723" spans="18:30" x14ac:dyDescent="0.3">
      <c r="R723" s="89"/>
      <c r="S723" s="89"/>
      <c r="T723" s="89"/>
      <c r="U723" s="89"/>
      <c r="V723" s="89"/>
      <c r="W723" s="89"/>
      <c r="X723" s="89"/>
      <c r="Y723" s="89"/>
      <c r="Z723" s="89"/>
      <c r="AA723" s="89"/>
      <c r="AB723" s="89"/>
      <c r="AC723" s="89"/>
      <c r="AD723" s="89"/>
    </row>
    <row r="724" spans="18:30" x14ac:dyDescent="0.3">
      <c r="R724" s="89"/>
      <c r="S724" s="89"/>
      <c r="T724" s="89"/>
      <c r="U724" s="89"/>
      <c r="V724" s="89"/>
      <c r="W724" s="89"/>
      <c r="X724" s="89"/>
      <c r="Y724" s="89"/>
      <c r="Z724" s="89"/>
      <c r="AA724" s="89"/>
      <c r="AB724" s="89"/>
      <c r="AC724" s="89"/>
      <c r="AD724" s="89"/>
    </row>
    <row r="725" spans="18:30" x14ac:dyDescent="0.3">
      <c r="R725" s="89"/>
      <c r="S725" s="89"/>
      <c r="T725" s="89"/>
      <c r="U725" s="89"/>
      <c r="V725" s="89"/>
      <c r="W725" s="89"/>
      <c r="X725" s="89"/>
      <c r="Y725" s="89"/>
      <c r="Z725" s="89"/>
      <c r="AA725" s="89"/>
      <c r="AB725" s="89"/>
      <c r="AC725" s="89"/>
      <c r="AD725" s="89"/>
    </row>
    <row r="726" spans="18:30" x14ac:dyDescent="0.3">
      <c r="R726" s="89"/>
      <c r="S726" s="89"/>
      <c r="T726" s="89"/>
      <c r="U726" s="89"/>
      <c r="V726" s="89"/>
      <c r="W726" s="89"/>
      <c r="X726" s="89"/>
      <c r="Y726" s="89"/>
      <c r="Z726" s="89"/>
      <c r="AA726" s="89"/>
      <c r="AB726" s="89"/>
      <c r="AC726" s="89"/>
      <c r="AD726" s="89"/>
    </row>
    <row r="727" spans="18:30" x14ac:dyDescent="0.3">
      <c r="R727" s="89"/>
      <c r="S727" s="89"/>
      <c r="T727" s="89"/>
      <c r="U727" s="89"/>
      <c r="V727" s="89"/>
      <c r="W727" s="89"/>
      <c r="X727" s="89"/>
      <c r="Y727" s="89"/>
      <c r="Z727" s="89"/>
      <c r="AA727" s="89"/>
      <c r="AB727" s="89"/>
      <c r="AC727" s="89"/>
      <c r="AD727" s="89"/>
    </row>
    <row r="728" spans="18:30" x14ac:dyDescent="0.3">
      <c r="R728" s="89"/>
      <c r="S728" s="89"/>
      <c r="T728" s="89"/>
      <c r="U728" s="89"/>
      <c r="V728" s="89"/>
      <c r="W728" s="89"/>
      <c r="X728" s="89"/>
      <c r="Y728" s="89"/>
      <c r="Z728" s="89"/>
      <c r="AA728" s="89"/>
      <c r="AB728" s="89"/>
      <c r="AC728" s="89"/>
      <c r="AD728" s="89"/>
    </row>
    <row r="729" spans="18:30" x14ac:dyDescent="0.3">
      <c r="R729" s="89"/>
      <c r="S729" s="89"/>
      <c r="T729" s="89"/>
      <c r="U729" s="89"/>
      <c r="V729" s="89"/>
      <c r="W729" s="89"/>
      <c r="X729" s="89"/>
      <c r="Y729" s="89"/>
      <c r="Z729" s="89"/>
      <c r="AA729" s="89"/>
      <c r="AB729" s="89"/>
      <c r="AC729" s="89"/>
      <c r="AD729" s="89"/>
    </row>
    <row r="730" spans="18:30" x14ac:dyDescent="0.3">
      <c r="R730" s="89"/>
      <c r="S730" s="89"/>
      <c r="T730" s="89"/>
      <c r="U730" s="89"/>
      <c r="V730" s="89"/>
      <c r="W730" s="89"/>
      <c r="X730" s="89"/>
      <c r="Y730" s="89"/>
      <c r="Z730" s="89"/>
      <c r="AA730" s="89"/>
      <c r="AB730" s="89"/>
      <c r="AC730" s="89"/>
      <c r="AD730" s="89"/>
    </row>
    <row r="731" spans="18:30" x14ac:dyDescent="0.3">
      <c r="R731" s="89"/>
      <c r="S731" s="89"/>
      <c r="T731" s="89"/>
      <c r="U731" s="89"/>
      <c r="V731" s="89"/>
      <c r="W731" s="89"/>
      <c r="X731" s="89"/>
      <c r="Y731" s="89"/>
      <c r="Z731" s="89"/>
      <c r="AA731" s="89"/>
      <c r="AB731" s="89"/>
      <c r="AC731" s="89"/>
      <c r="AD731" s="89"/>
    </row>
    <row r="732" spans="18:30" x14ac:dyDescent="0.3">
      <c r="R732" s="89"/>
      <c r="S732" s="89"/>
      <c r="T732" s="89"/>
      <c r="U732" s="89"/>
      <c r="V732" s="89"/>
      <c r="W732" s="89"/>
      <c r="X732" s="89"/>
      <c r="Y732" s="89"/>
      <c r="Z732" s="89"/>
      <c r="AA732" s="89"/>
      <c r="AB732" s="89"/>
      <c r="AC732" s="89"/>
      <c r="AD732" s="89"/>
    </row>
    <row r="733" spans="18:30" x14ac:dyDescent="0.3">
      <c r="R733" s="89"/>
      <c r="S733" s="89"/>
      <c r="T733" s="89"/>
      <c r="U733" s="89"/>
      <c r="V733" s="89"/>
      <c r="W733" s="89"/>
      <c r="X733" s="89"/>
      <c r="Y733" s="89"/>
      <c r="Z733" s="89"/>
      <c r="AA733" s="89"/>
      <c r="AB733" s="89"/>
      <c r="AC733" s="89"/>
      <c r="AD733" s="89"/>
    </row>
    <row r="734" spans="18:30" x14ac:dyDescent="0.3">
      <c r="R734" s="89"/>
      <c r="S734" s="89"/>
      <c r="T734" s="89"/>
      <c r="U734" s="89"/>
      <c r="V734" s="89"/>
      <c r="W734" s="89"/>
      <c r="X734" s="89"/>
      <c r="Y734" s="89"/>
      <c r="Z734" s="89"/>
      <c r="AA734" s="89"/>
      <c r="AB734" s="89"/>
      <c r="AC734" s="89"/>
      <c r="AD734" s="89"/>
    </row>
    <row r="735" spans="18:30" x14ac:dyDescent="0.3">
      <c r="R735" s="89"/>
      <c r="S735" s="89"/>
      <c r="T735" s="89"/>
      <c r="U735" s="89"/>
      <c r="V735" s="89"/>
      <c r="W735" s="89"/>
      <c r="X735" s="89"/>
      <c r="Y735" s="89"/>
      <c r="Z735" s="89"/>
      <c r="AA735" s="89"/>
      <c r="AB735" s="89"/>
      <c r="AC735" s="89"/>
      <c r="AD735" s="89"/>
    </row>
    <row r="736" spans="18:30" x14ac:dyDescent="0.3">
      <c r="R736" s="89"/>
      <c r="S736" s="89"/>
      <c r="T736" s="89"/>
      <c r="U736" s="89"/>
      <c r="V736" s="89"/>
      <c r="W736" s="89"/>
      <c r="X736" s="89"/>
      <c r="Y736" s="89"/>
      <c r="Z736" s="89"/>
      <c r="AA736" s="89"/>
      <c r="AB736" s="89"/>
      <c r="AC736" s="89"/>
      <c r="AD736" s="89"/>
    </row>
    <row r="737" spans="18:30" x14ac:dyDescent="0.3">
      <c r="R737" s="89"/>
      <c r="S737" s="89"/>
      <c r="T737" s="89"/>
      <c r="U737" s="89"/>
      <c r="V737" s="89"/>
      <c r="W737" s="89"/>
      <c r="X737" s="89"/>
      <c r="Y737" s="89"/>
      <c r="Z737" s="89"/>
      <c r="AA737" s="89"/>
      <c r="AB737" s="89"/>
      <c r="AC737" s="89"/>
      <c r="AD737" s="89"/>
    </row>
    <row r="738" spans="18:30" x14ac:dyDescent="0.3">
      <c r="R738" s="89"/>
      <c r="S738" s="89"/>
      <c r="T738" s="89"/>
      <c r="U738" s="89"/>
      <c r="V738" s="89"/>
      <c r="W738" s="89"/>
      <c r="X738" s="89"/>
      <c r="Y738" s="89"/>
      <c r="Z738" s="89"/>
      <c r="AA738" s="89"/>
      <c r="AB738" s="89"/>
      <c r="AC738" s="89"/>
      <c r="AD738" s="89"/>
    </row>
    <row r="739" spans="18:30" x14ac:dyDescent="0.3">
      <c r="R739" s="89"/>
      <c r="S739" s="89"/>
      <c r="T739" s="89"/>
      <c r="U739" s="89"/>
      <c r="V739" s="89"/>
      <c r="W739" s="89"/>
      <c r="X739" s="89"/>
      <c r="Y739" s="89"/>
      <c r="Z739" s="89"/>
      <c r="AA739" s="89"/>
      <c r="AB739" s="89"/>
      <c r="AC739" s="89"/>
      <c r="AD739" s="89"/>
    </row>
    <row r="740" spans="18:30" x14ac:dyDescent="0.3">
      <c r="R740" s="89"/>
      <c r="S740" s="89"/>
      <c r="T740" s="89"/>
      <c r="U740" s="89"/>
      <c r="V740" s="89"/>
      <c r="W740" s="89"/>
      <c r="X740" s="89"/>
      <c r="Y740" s="89"/>
      <c r="Z740" s="89"/>
      <c r="AA740" s="89"/>
      <c r="AB740" s="89"/>
      <c r="AC740" s="89"/>
      <c r="AD740" s="89"/>
    </row>
    <row r="741" spans="18:30" x14ac:dyDescent="0.3">
      <c r="R741" s="89"/>
      <c r="S741" s="89"/>
      <c r="T741" s="89"/>
      <c r="U741" s="89"/>
      <c r="V741" s="89"/>
      <c r="W741" s="89"/>
      <c r="X741" s="89"/>
      <c r="Y741" s="89"/>
      <c r="Z741" s="89"/>
      <c r="AA741" s="89"/>
      <c r="AB741" s="89"/>
      <c r="AC741" s="89"/>
      <c r="AD741" s="89"/>
    </row>
    <row r="742" spans="18:30" x14ac:dyDescent="0.3">
      <c r="R742" s="89"/>
      <c r="S742" s="89"/>
      <c r="T742" s="89"/>
      <c r="U742" s="89"/>
      <c r="V742" s="89"/>
      <c r="W742" s="89"/>
      <c r="X742" s="89"/>
      <c r="Y742" s="89"/>
      <c r="Z742" s="89"/>
      <c r="AA742" s="89"/>
      <c r="AB742" s="89"/>
      <c r="AC742" s="89"/>
      <c r="AD742" s="89"/>
    </row>
    <row r="743" spans="18:30" x14ac:dyDescent="0.3">
      <c r="R743" s="89"/>
      <c r="S743" s="89"/>
      <c r="T743" s="89"/>
      <c r="U743" s="89"/>
      <c r="V743" s="89"/>
      <c r="W743" s="89"/>
      <c r="X743" s="89"/>
      <c r="Y743" s="89"/>
      <c r="Z743" s="89"/>
      <c r="AA743" s="89"/>
      <c r="AB743" s="89"/>
      <c r="AC743" s="89"/>
      <c r="AD743" s="89"/>
    </row>
    <row r="744" spans="18:30" x14ac:dyDescent="0.3">
      <c r="R744" s="89"/>
      <c r="S744" s="89"/>
      <c r="T744" s="89"/>
      <c r="U744" s="89"/>
      <c r="V744" s="89"/>
      <c r="W744" s="89"/>
      <c r="X744" s="89"/>
      <c r="Y744" s="89"/>
      <c r="Z744" s="89"/>
      <c r="AA744" s="89"/>
      <c r="AB744" s="89"/>
      <c r="AC744" s="89"/>
      <c r="AD744" s="89"/>
    </row>
    <row r="745" spans="18:30" x14ac:dyDescent="0.3">
      <c r="R745" s="89"/>
      <c r="S745" s="89"/>
      <c r="T745" s="89"/>
      <c r="U745" s="89"/>
      <c r="V745" s="89"/>
      <c r="W745" s="89"/>
      <c r="X745" s="89"/>
      <c r="Y745" s="89"/>
      <c r="Z745" s="89"/>
      <c r="AA745" s="89"/>
      <c r="AB745" s="89"/>
      <c r="AC745" s="89"/>
      <c r="AD745" s="89"/>
    </row>
    <row r="746" spans="18:30" x14ac:dyDescent="0.3">
      <c r="R746" s="89"/>
      <c r="S746" s="89"/>
      <c r="T746" s="89"/>
      <c r="U746" s="89"/>
      <c r="V746" s="89"/>
      <c r="W746" s="89"/>
      <c r="X746" s="89"/>
      <c r="Y746" s="89"/>
      <c r="Z746" s="89"/>
      <c r="AA746" s="89"/>
      <c r="AB746" s="89"/>
      <c r="AC746" s="89"/>
      <c r="AD746" s="89"/>
    </row>
    <row r="747" spans="18:30" x14ac:dyDescent="0.3">
      <c r="R747" s="89"/>
      <c r="S747" s="89"/>
      <c r="T747" s="89"/>
      <c r="U747" s="89"/>
      <c r="V747" s="89"/>
      <c r="W747" s="89"/>
      <c r="X747" s="89"/>
      <c r="Y747" s="89"/>
      <c r="Z747" s="89"/>
      <c r="AA747" s="89"/>
      <c r="AB747" s="89"/>
      <c r="AC747" s="89"/>
      <c r="AD747" s="89"/>
    </row>
    <row r="748" spans="18:30" x14ac:dyDescent="0.3">
      <c r="R748" s="89"/>
      <c r="S748" s="89"/>
      <c r="T748" s="89"/>
      <c r="U748" s="89"/>
      <c r="V748" s="89"/>
      <c r="W748" s="89"/>
      <c r="X748" s="89"/>
      <c r="Y748" s="89"/>
      <c r="Z748" s="89"/>
      <c r="AA748" s="89"/>
      <c r="AB748" s="89"/>
      <c r="AC748" s="89"/>
      <c r="AD748" s="89"/>
    </row>
    <row r="749" spans="18:30" x14ac:dyDescent="0.3">
      <c r="R749" s="89"/>
      <c r="S749" s="89"/>
      <c r="T749" s="89"/>
      <c r="U749" s="89"/>
      <c r="V749" s="89"/>
      <c r="W749" s="89"/>
      <c r="X749" s="89"/>
      <c r="Y749" s="89"/>
      <c r="Z749" s="89"/>
      <c r="AA749" s="89"/>
      <c r="AB749" s="89"/>
      <c r="AC749" s="89"/>
      <c r="AD749" s="89"/>
    </row>
    <row r="750" spans="18:30" x14ac:dyDescent="0.3">
      <c r="R750" s="89"/>
      <c r="S750" s="89"/>
      <c r="T750" s="89"/>
      <c r="U750" s="89"/>
      <c r="V750" s="89"/>
      <c r="W750" s="89"/>
      <c r="X750" s="89"/>
      <c r="Y750" s="89"/>
      <c r="Z750" s="89"/>
      <c r="AA750" s="89"/>
      <c r="AB750" s="89"/>
      <c r="AC750" s="89"/>
      <c r="AD750" s="89"/>
    </row>
    <row r="751" spans="18:30" x14ac:dyDescent="0.3">
      <c r="R751" s="89"/>
      <c r="S751" s="89"/>
      <c r="T751" s="89"/>
      <c r="U751" s="89"/>
      <c r="V751" s="89"/>
      <c r="W751" s="89"/>
      <c r="X751" s="89"/>
      <c r="Y751" s="89"/>
      <c r="Z751" s="89"/>
      <c r="AA751" s="89"/>
      <c r="AB751" s="89"/>
      <c r="AC751" s="89"/>
      <c r="AD751" s="89"/>
    </row>
    <row r="752" spans="18:30" x14ac:dyDescent="0.3">
      <c r="R752" s="89"/>
      <c r="S752" s="89"/>
      <c r="T752" s="89"/>
      <c r="U752" s="89"/>
      <c r="V752" s="89"/>
      <c r="W752" s="89"/>
      <c r="X752" s="89"/>
      <c r="Y752" s="89"/>
      <c r="Z752" s="89"/>
      <c r="AA752" s="89"/>
      <c r="AB752" s="89"/>
      <c r="AC752" s="89"/>
      <c r="AD752" s="89"/>
    </row>
    <row r="753" spans="18:30" x14ac:dyDescent="0.3">
      <c r="R753" s="89"/>
      <c r="S753" s="89"/>
      <c r="T753" s="89"/>
      <c r="U753" s="89"/>
      <c r="V753" s="89"/>
      <c r="W753" s="89"/>
      <c r="X753" s="89"/>
      <c r="Y753" s="89"/>
      <c r="Z753" s="89"/>
      <c r="AA753" s="89"/>
      <c r="AB753" s="89"/>
      <c r="AC753" s="89"/>
      <c r="AD753" s="89"/>
    </row>
    <row r="754" spans="18:30" x14ac:dyDescent="0.3">
      <c r="R754" s="89"/>
      <c r="S754" s="89"/>
      <c r="T754" s="89"/>
      <c r="U754" s="89"/>
      <c r="V754" s="89"/>
      <c r="W754" s="89"/>
      <c r="X754" s="89"/>
      <c r="Y754" s="89"/>
      <c r="Z754" s="89"/>
      <c r="AA754" s="89"/>
      <c r="AB754" s="89"/>
      <c r="AC754" s="89"/>
      <c r="AD754" s="89"/>
    </row>
    <row r="755" spans="18:30" x14ac:dyDescent="0.3">
      <c r="R755" s="89"/>
      <c r="S755" s="89"/>
      <c r="T755" s="89"/>
      <c r="U755" s="89"/>
      <c r="V755" s="89"/>
      <c r="W755" s="89"/>
      <c r="X755" s="89"/>
      <c r="Y755" s="89"/>
      <c r="Z755" s="89"/>
      <c r="AA755" s="89"/>
      <c r="AB755" s="89"/>
      <c r="AC755" s="89"/>
      <c r="AD755" s="89"/>
    </row>
    <row r="756" spans="18:30" x14ac:dyDescent="0.3">
      <c r="R756" s="89"/>
      <c r="S756" s="89"/>
      <c r="T756" s="89"/>
      <c r="U756" s="89"/>
      <c r="V756" s="89"/>
      <c r="W756" s="89"/>
      <c r="X756" s="89"/>
      <c r="Y756" s="89"/>
      <c r="Z756" s="89"/>
      <c r="AA756" s="89"/>
      <c r="AB756" s="89"/>
      <c r="AC756" s="89"/>
      <c r="AD756" s="89"/>
    </row>
    <row r="757" spans="18:30" x14ac:dyDescent="0.3">
      <c r="R757" s="89"/>
      <c r="S757" s="89"/>
      <c r="T757" s="89"/>
      <c r="U757" s="89"/>
      <c r="V757" s="89"/>
      <c r="W757" s="89"/>
      <c r="X757" s="89"/>
      <c r="Y757" s="89"/>
      <c r="Z757" s="89"/>
      <c r="AA757" s="89"/>
      <c r="AB757" s="89"/>
      <c r="AC757" s="89"/>
      <c r="AD757" s="89"/>
    </row>
    <row r="758" spans="18:30" x14ac:dyDescent="0.3">
      <c r="R758" s="89"/>
      <c r="S758" s="89"/>
      <c r="T758" s="89"/>
      <c r="U758" s="89"/>
      <c r="V758" s="89"/>
      <c r="W758" s="89"/>
      <c r="X758" s="89"/>
      <c r="Y758" s="89"/>
      <c r="Z758" s="89"/>
      <c r="AA758" s="89"/>
      <c r="AB758" s="89"/>
      <c r="AC758" s="89"/>
      <c r="AD758" s="89"/>
    </row>
    <row r="759" spans="18:30" x14ac:dyDescent="0.3">
      <c r="R759" s="89"/>
      <c r="S759" s="89"/>
      <c r="T759" s="89"/>
      <c r="U759" s="89"/>
      <c r="V759" s="89"/>
      <c r="W759" s="89"/>
      <c r="X759" s="89"/>
      <c r="Y759" s="89"/>
      <c r="Z759" s="89"/>
      <c r="AA759" s="89"/>
      <c r="AB759" s="89"/>
      <c r="AC759" s="89"/>
      <c r="AD759" s="89"/>
    </row>
    <row r="760" spans="18:30" x14ac:dyDescent="0.3">
      <c r="R760" s="89"/>
      <c r="S760" s="89"/>
      <c r="T760" s="89"/>
      <c r="U760" s="89"/>
      <c r="V760" s="89"/>
      <c r="W760" s="89"/>
      <c r="X760" s="89"/>
      <c r="Y760" s="89"/>
      <c r="Z760" s="89"/>
      <c r="AA760" s="89"/>
      <c r="AB760" s="89"/>
      <c r="AC760" s="89"/>
      <c r="AD760" s="89"/>
    </row>
    <row r="761" spans="18:30" x14ac:dyDescent="0.3">
      <c r="R761" s="89"/>
      <c r="S761" s="89"/>
      <c r="T761" s="89"/>
      <c r="U761" s="89"/>
      <c r="V761" s="89"/>
      <c r="W761" s="89"/>
      <c r="X761" s="89"/>
      <c r="Y761" s="89"/>
      <c r="Z761" s="89"/>
      <c r="AA761" s="89"/>
      <c r="AB761" s="89"/>
      <c r="AC761" s="89"/>
      <c r="AD761" s="89"/>
    </row>
    <row r="762" spans="18:30" x14ac:dyDescent="0.3">
      <c r="R762" s="89"/>
      <c r="S762" s="89"/>
      <c r="T762" s="89"/>
      <c r="U762" s="89"/>
      <c r="V762" s="89"/>
      <c r="W762" s="89"/>
      <c r="X762" s="89"/>
      <c r="Y762" s="89"/>
      <c r="Z762" s="89"/>
      <c r="AA762" s="89"/>
      <c r="AB762" s="89"/>
      <c r="AC762" s="89"/>
      <c r="AD762" s="89"/>
    </row>
    <row r="763" spans="18:30" x14ac:dyDescent="0.3">
      <c r="R763" s="89"/>
      <c r="S763" s="89"/>
      <c r="T763" s="89"/>
      <c r="U763" s="89"/>
      <c r="V763" s="89"/>
      <c r="W763" s="89"/>
      <c r="X763" s="89"/>
      <c r="Y763" s="89"/>
      <c r="Z763" s="89"/>
      <c r="AA763" s="89"/>
      <c r="AB763" s="89"/>
      <c r="AC763" s="89"/>
      <c r="AD763" s="89"/>
    </row>
    <row r="764" spans="18:30" x14ac:dyDescent="0.3">
      <c r="R764" s="89"/>
      <c r="S764" s="89"/>
      <c r="T764" s="89"/>
      <c r="U764" s="89"/>
      <c r="V764" s="89"/>
      <c r="W764" s="89"/>
      <c r="X764" s="89"/>
      <c r="Y764" s="89"/>
      <c r="Z764" s="89"/>
      <c r="AA764" s="89"/>
      <c r="AB764" s="89"/>
      <c r="AC764" s="89"/>
      <c r="AD764" s="89"/>
    </row>
    <row r="765" spans="18:30" x14ac:dyDescent="0.3">
      <c r="R765" s="89"/>
      <c r="S765" s="89"/>
      <c r="T765" s="89"/>
      <c r="U765" s="89"/>
      <c r="V765" s="89"/>
      <c r="W765" s="89"/>
      <c r="X765" s="89"/>
      <c r="Y765" s="89"/>
      <c r="Z765" s="89"/>
      <c r="AA765" s="89"/>
      <c r="AB765" s="89"/>
      <c r="AC765" s="89"/>
      <c r="AD765" s="89"/>
    </row>
    <row r="766" spans="18:30" x14ac:dyDescent="0.3">
      <c r="R766" s="89"/>
      <c r="S766" s="89"/>
      <c r="T766" s="89"/>
      <c r="U766" s="89"/>
      <c r="V766" s="89"/>
      <c r="W766" s="89"/>
      <c r="X766" s="89"/>
      <c r="Y766" s="89"/>
      <c r="Z766" s="89"/>
      <c r="AA766" s="89"/>
      <c r="AB766" s="89"/>
      <c r="AC766" s="89"/>
      <c r="AD766" s="89"/>
    </row>
    <row r="767" spans="18:30" x14ac:dyDescent="0.3">
      <c r="R767" s="89"/>
      <c r="S767" s="89"/>
      <c r="T767" s="89"/>
      <c r="U767" s="89"/>
      <c r="V767" s="89"/>
      <c r="W767" s="89"/>
      <c r="X767" s="89"/>
      <c r="Y767" s="89"/>
      <c r="Z767" s="89"/>
      <c r="AA767" s="89"/>
      <c r="AB767" s="89"/>
      <c r="AC767" s="89"/>
      <c r="AD767" s="89"/>
    </row>
    <row r="768" spans="18:30" x14ac:dyDescent="0.3">
      <c r="R768" s="89"/>
      <c r="S768" s="89"/>
      <c r="T768" s="89"/>
      <c r="U768" s="89"/>
      <c r="V768" s="89"/>
      <c r="W768" s="89"/>
      <c r="X768" s="89"/>
      <c r="Y768" s="89"/>
      <c r="Z768" s="89"/>
      <c r="AA768" s="89"/>
      <c r="AB768" s="89"/>
      <c r="AC768" s="89"/>
      <c r="AD768" s="89"/>
    </row>
    <row r="769" spans="18:30" x14ac:dyDescent="0.3">
      <c r="R769" s="89"/>
      <c r="S769" s="89"/>
      <c r="T769" s="89"/>
      <c r="U769" s="89"/>
      <c r="V769" s="89"/>
      <c r="W769" s="89"/>
      <c r="X769" s="89"/>
      <c r="Y769" s="89"/>
      <c r="Z769" s="89"/>
      <c r="AA769" s="89"/>
      <c r="AB769" s="89"/>
      <c r="AC769" s="89"/>
      <c r="AD769" s="89"/>
    </row>
    <row r="770" spans="18:30" x14ac:dyDescent="0.3">
      <c r="R770" s="89"/>
      <c r="S770" s="89"/>
      <c r="T770" s="89"/>
      <c r="U770" s="89"/>
      <c r="V770" s="89"/>
      <c r="W770" s="89"/>
      <c r="X770" s="89"/>
      <c r="Y770" s="89"/>
      <c r="Z770" s="89"/>
      <c r="AA770" s="89"/>
      <c r="AB770" s="89"/>
      <c r="AC770" s="89"/>
      <c r="AD770" s="89"/>
    </row>
    <row r="771" spans="18:30" x14ac:dyDescent="0.3">
      <c r="R771" s="89"/>
      <c r="S771" s="89"/>
      <c r="T771" s="89"/>
      <c r="U771" s="89"/>
      <c r="V771" s="89"/>
      <c r="W771" s="89"/>
      <c r="X771" s="89"/>
      <c r="Y771" s="89"/>
      <c r="Z771" s="89"/>
      <c r="AA771" s="89"/>
      <c r="AB771" s="89"/>
      <c r="AC771" s="89"/>
      <c r="AD771" s="89"/>
    </row>
    <row r="772" spans="18:30" x14ac:dyDescent="0.3">
      <c r="R772" s="89"/>
      <c r="S772" s="89"/>
      <c r="T772" s="89"/>
      <c r="U772" s="89"/>
      <c r="V772" s="89"/>
      <c r="W772" s="89"/>
      <c r="X772" s="89"/>
      <c r="Y772" s="89"/>
      <c r="Z772" s="89"/>
      <c r="AA772" s="89"/>
      <c r="AB772" s="89"/>
      <c r="AC772" s="89"/>
      <c r="AD772" s="89"/>
    </row>
    <row r="773" spans="18:30" x14ac:dyDescent="0.3">
      <c r="R773" s="89"/>
      <c r="S773" s="89"/>
      <c r="T773" s="89"/>
      <c r="U773" s="89"/>
      <c r="V773" s="89"/>
      <c r="W773" s="89"/>
      <c r="X773" s="89"/>
      <c r="Y773" s="89"/>
      <c r="Z773" s="89"/>
      <c r="AA773" s="89"/>
      <c r="AB773" s="89"/>
      <c r="AC773" s="89"/>
      <c r="AD773" s="89"/>
    </row>
    <row r="774" spans="18:30" x14ac:dyDescent="0.3">
      <c r="R774" s="89"/>
      <c r="S774" s="89"/>
      <c r="T774" s="89"/>
      <c r="U774" s="89"/>
      <c r="V774" s="89"/>
      <c r="W774" s="89"/>
      <c r="X774" s="89"/>
      <c r="Y774" s="89"/>
      <c r="Z774" s="89"/>
      <c r="AA774" s="89"/>
      <c r="AB774" s="89"/>
      <c r="AC774" s="89"/>
      <c r="AD774" s="89"/>
    </row>
    <row r="775" spans="18:30" x14ac:dyDescent="0.3">
      <c r="R775" s="89"/>
      <c r="S775" s="89"/>
      <c r="T775" s="89"/>
      <c r="U775" s="89"/>
      <c r="V775" s="89"/>
      <c r="W775" s="89"/>
      <c r="X775" s="89"/>
      <c r="Y775" s="89"/>
      <c r="Z775" s="89"/>
      <c r="AA775" s="89"/>
      <c r="AB775" s="89"/>
      <c r="AC775" s="89"/>
      <c r="AD775" s="89"/>
    </row>
    <row r="776" spans="18:30" x14ac:dyDescent="0.3">
      <c r="R776" s="89"/>
      <c r="S776" s="89"/>
      <c r="T776" s="89"/>
      <c r="U776" s="89"/>
      <c r="V776" s="89"/>
      <c r="W776" s="89"/>
      <c r="X776" s="89"/>
      <c r="Y776" s="89"/>
      <c r="Z776" s="89"/>
      <c r="AA776" s="89"/>
      <c r="AB776" s="89"/>
      <c r="AC776" s="89"/>
      <c r="AD776" s="89"/>
    </row>
    <row r="777" spans="18:30" x14ac:dyDescent="0.3">
      <c r="R777" s="89"/>
      <c r="S777" s="89"/>
      <c r="T777" s="89"/>
      <c r="U777" s="89"/>
      <c r="V777" s="89"/>
      <c r="W777" s="89"/>
      <c r="X777" s="89"/>
      <c r="Y777" s="89"/>
      <c r="Z777" s="89"/>
      <c r="AA777" s="89"/>
      <c r="AB777" s="89"/>
      <c r="AC777" s="89"/>
      <c r="AD777" s="89"/>
    </row>
    <row r="778" spans="18:30" x14ac:dyDescent="0.3">
      <c r="R778" s="89"/>
      <c r="S778" s="89"/>
      <c r="T778" s="89"/>
      <c r="U778" s="89"/>
      <c r="V778" s="89"/>
      <c r="W778" s="89"/>
      <c r="X778" s="89"/>
      <c r="Y778" s="89"/>
      <c r="Z778" s="89"/>
      <c r="AA778" s="89"/>
      <c r="AB778" s="89"/>
      <c r="AC778" s="89"/>
      <c r="AD778" s="89"/>
    </row>
    <row r="779" spans="18:30" x14ac:dyDescent="0.3">
      <c r="R779" s="89"/>
      <c r="S779" s="89"/>
      <c r="T779" s="89"/>
      <c r="U779" s="89"/>
      <c r="V779" s="89"/>
      <c r="W779" s="89"/>
      <c r="X779" s="89"/>
      <c r="Y779" s="89"/>
      <c r="Z779" s="89"/>
      <c r="AA779" s="89"/>
      <c r="AB779" s="89"/>
      <c r="AC779" s="89"/>
      <c r="AD779" s="89"/>
    </row>
    <row r="780" spans="18:30" x14ac:dyDescent="0.3">
      <c r="R780" s="89"/>
      <c r="S780" s="89"/>
      <c r="T780" s="89"/>
      <c r="U780" s="89"/>
      <c r="V780" s="89"/>
      <c r="W780" s="89"/>
      <c r="X780" s="89"/>
      <c r="Y780" s="89"/>
      <c r="Z780" s="89"/>
      <c r="AA780" s="89"/>
      <c r="AB780" s="89"/>
      <c r="AC780" s="89"/>
      <c r="AD780" s="89"/>
    </row>
    <row r="781" spans="18:30" x14ac:dyDescent="0.3">
      <c r="R781" s="89"/>
      <c r="S781" s="89"/>
      <c r="T781" s="89"/>
      <c r="U781" s="89"/>
      <c r="V781" s="89"/>
      <c r="W781" s="89"/>
      <c r="X781" s="89"/>
      <c r="Y781" s="89"/>
      <c r="Z781" s="89"/>
      <c r="AA781" s="89"/>
      <c r="AB781" s="89"/>
      <c r="AC781" s="89"/>
      <c r="AD781" s="89"/>
    </row>
    <row r="782" spans="18:30" x14ac:dyDescent="0.3">
      <c r="R782" s="89"/>
      <c r="S782" s="89"/>
      <c r="T782" s="89"/>
      <c r="U782" s="89"/>
      <c r="V782" s="89"/>
      <c r="W782" s="89"/>
      <c r="X782" s="89"/>
      <c r="Y782" s="89"/>
      <c r="Z782" s="89"/>
      <c r="AA782" s="89"/>
      <c r="AB782" s="89"/>
      <c r="AC782" s="89"/>
      <c r="AD782" s="89"/>
    </row>
    <row r="783" spans="18:30" x14ac:dyDescent="0.3">
      <c r="R783" s="89"/>
      <c r="S783" s="89"/>
      <c r="T783" s="89"/>
      <c r="U783" s="89"/>
      <c r="V783" s="89"/>
      <c r="W783" s="89"/>
      <c r="X783" s="89"/>
      <c r="Y783" s="89"/>
      <c r="Z783" s="89"/>
      <c r="AA783" s="89"/>
      <c r="AB783" s="89"/>
      <c r="AC783" s="89"/>
      <c r="AD783" s="89"/>
    </row>
    <row r="784" spans="18:30" x14ac:dyDescent="0.3">
      <c r="R784" s="89"/>
      <c r="S784" s="89"/>
      <c r="T784" s="89"/>
      <c r="U784" s="89"/>
      <c r="V784" s="89"/>
      <c r="W784" s="89"/>
      <c r="X784" s="89"/>
      <c r="Y784" s="89"/>
      <c r="Z784" s="89"/>
      <c r="AA784" s="89"/>
      <c r="AB784" s="89"/>
      <c r="AC784" s="89"/>
      <c r="AD784" s="89"/>
    </row>
    <row r="785" spans="18:30" x14ac:dyDescent="0.3">
      <c r="R785" s="89"/>
      <c r="S785" s="89"/>
      <c r="T785" s="89"/>
      <c r="U785" s="89"/>
      <c r="V785" s="89"/>
      <c r="W785" s="89"/>
      <c r="X785" s="89"/>
      <c r="Y785" s="89"/>
      <c r="Z785" s="89"/>
      <c r="AA785" s="89"/>
      <c r="AB785" s="89"/>
      <c r="AC785" s="89"/>
      <c r="AD785" s="89"/>
    </row>
    <row r="786" spans="18:30" x14ac:dyDescent="0.3">
      <c r="R786" s="89"/>
      <c r="S786" s="89"/>
      <c r="T786" s="89"/>
      <c r="U786" s="89"/>
      <c r="V786" s="89"/>
      <c r="W786" s="89"/>
      <c r="X786" s="89"/>
      <c r="Y786" s="89"/>
      <c r="Z786" s="89"/>
      <c r="AA786" s="89"/>
      <c r="AB786" s="89"/>
      <c r="AC786" s="89"/>
      <c r="AD786" s="89"/>
    </row>
    <row r="787" spans="18:30" x14ac:dyDescent="0.3">
      <c r="R787" s="89"/>
      <c r="S787" s="89"/>
      <c r="T787" s="89"/>
      <c r="U787" s="89"/>
      <c r="V787" s="89"/>
      <c r="W787" s="89"/>
      <c r="X787" s="89"/>
      <c r="Y787" s="89"/>
      <c r="Z787" s="89"/>
      <c r="AA787" s="89"/>
      <c r="AB787" s="89"/>
      <c r="AC787" s="89"/>
      <c r="AD787" s="89"/>
    </row>
    <row r="788" spans="18:30" x14ac:dyDescent="0.3">
      <c r="R788" s="89"/>
      <c r="S788" s="89"/>
      <c r="T788" s="89"/>
      <c r="U788" s="89"/>
      <c r="V788" s="89"/>
      <c r="W788" s="89"/>
      <c r="X788" s="89"/>
      <c r="Y788" s="89"/>
      <c r="Z788" s="89"/>
      <c r="AA788" s="89"/>
      <c r="AB788" s="89"/>
      <c r="AC788" s="89"/>
      <c r="AD788" s="89"/>
    </row>
    <row r="789" spans="18:30" x14ac:dyDescent="0.3">
      <c r="R789" s="89"/>
      <c r="S789" s="89"/>
      <c r="T789" s="89"/>
      <c r="U789" s="89"/>
      <c r="V789" s="89"/>
      <c r="W789" s="89"/>
      <c r="X789" s="89"/>
      <c r="Y789" s="89"/>
      <c r="Z789" s="89"/>
      <c r="AA789" s="89"/>
      <c r="AB789" s="89"/>
      <c r="AC789" s="89"/>
      <c r="AD789" s="89"/>
    </row>
    <row r="790" spans="18:30" x14ac:dyDescent="0.3">
      <c r="R790" s="89"/>
      <c r="S790" s="89"/>
      <c r="T790" s="89"/>
      <c r="U790" s="89"/>
      <c r="V790" s="89"/>
      <c r="W790" s="89"/>
      <c r="X790" s="89"/>
      <c r="Y790" s="89"/>
      <c r="Z790" s="89"/>
      <c r="AA790" s="89"/>
      <c r="AB790" s="89"/>
      <c r="AC790" s="89"/>
      <c r="AD790" s="89"/>
    </row>
    <row r="791" spans="18:30" x14ac:dyDescent="0.3">
      <c r="R791" s="89"/>
      <c r="S791" s="89"/>
      <c r="T791" s="89"/>
      <c r="U791" s="89"/>
      <c r="V791" s="89"/>
      <c r="W791" s="89"/>
      <c r="X791" s="89"/>
      <c r="Y791" s="89"/>
      <c r="Z791" s="89"/>
      <c r="AA791" s="89"/>
      <c r="AB791" s="89"/>
      <c r="AC791" s="89"/>
      <c r="AD791" s="89"/>
    </row>
    <row r="792" spans="18:30" x14ac:dyDescent="0.3">
      <c r="R792" s="89"/>
      <c r="S792" s="89"/>
      <c r="T792" s="89"/>
      <c r="U792" s="89"/>
      <c r="V792" s="89"/>
      <c r="W792" s="89"/>
      <c r="X792" s="89"/>
      <c r="Y792" s="89"/>
      <c r="Z792" s="89"/>
      <c r="AA792" s="89"/>
      <c r="AB792" s="89"/>
      <c r="AC792" s="89"/>
      <c r="AD792" s="89"/>
    </row>
    <row r="793" spans="18:30" x14ac:dyDescent="0.3">
      <c r="R793" s="89"/>
      <c r="S793" s="89"/>
      <c r="T793" s="89"/>
      <c r="U793" s="89"/>
      <c r="V793" s="89"/>
      <c r="W793" s="89"/>
      <c r="X793" s="89"/>
      <c r="Y793" s="89"/>
      <c r="Z793" s="89"/>
      <c r="AA793" s="89"/>
      <c r="AB793" s="89"/>
      <c r="AC793" s="89"/>
      <c r="AD793" s="89"/>
    </row>
    <row r="794" spans="18:30" x14ac:dyDescent="0.3">
      <c r="R794" s="89"/>
      <c r="S794" s="89"/>
      <c r="T794" s="89"/>
      <c r="U794" s="89"/>
      <c r="V794" s="89"/>
      <c r="W794" s="89"/>
      <c r="X794" s="89"/>
      <c r="Y794" s="89"/>
      <c r="Z794" s="89"/>
      <c r="AA794" s="89"/>
      <c r="AB794" s="89"/>
      <c r="AC794" s="89"/>
      <c r="AD794" s="89"/>
    </row>
    <row r="795" spans="18:30" x14ac:dyDescent="0.3">
      <c r="R795" s="89"/>
      <c r="S795" s="89"/>
      <c r="T795" s="89"/>
      <c r="U795" s="89"/>
      <c r="V795" s="89"/>
      <c r="W795" s="89"/>
      <c r="X795" s="89"/>
      <c r="Y795" s="89"/>
      <c r="Z795" s="89"/>
      <c r="AA795" s="89"/>
      <c r="AB795" s="89"/>
      <c r="AC795" s="89"/>
      <c r="AD795" s="89"/>
    </row>
    <row r="796" spans="18:30" x14ac:dyDescent="0.3">
      <c r="R796" s="89"/>
      <c r="S796" s="89"/>
      <c r="T796" s="89"/>
      <c r="U796" s="89"/>
      <c r="V796" s="89"/>
      <c r="W796" s="89"/>
      <c r="X796" s="89"/>
      <c r="Y796" s="89"/>
      <c r="Z796" s="89"/>
      <c r="AA796" s="89"/>
      <c r="AB796" s="89"/>
      <c r="AC796" s="89"/>
      <c r="AD796" s="89"/>
    </row>
    <row r="797" spans="18:30" x14ac:dyDescent="0.3">
      <c r="R797" s="89"/>
      <c r="S797" s="89"/>
      <c r="T797" s="89"/>
      <c r="U797" s="89"/>
      <c r="V797" s="89"/>
      <c r="W797" s="89"/>
      <c r="X797" s="89"/>
      <c r="Y797" s="89"/>
      <c r="Z797" s="89"/>
      <c r="AA797" s="89"/>
      <c r="AB797" s="89"/>
      <c r="AC797" s="89"/>
      <c r="AD797" s="89"/>
    </row>
    <row r="798" spans="18:30" x14ac:dyDescent="0.3">
      <c r="R798" s="89"/>
      <c r="S798" s="89"/>
      <c r="T798" s="89"/>
      <c r="U798" s="89"/>
      <c r="V798" s="89"/>
      <c r="W798" s="89"/>
      <c r="X798" s="89"/>
      <c r="Y798" s="89"/>
      <c r="Z798" s="89"/>
      <c r="AA798" s="89"/>
      <c r="AB798" s="89"/>
      <c r="AC798" s="89"/>
      <c r="AD798" s="89"/>
    </row>
    <row r="799" spans="18:30" x14ac:dyDescent="0.3">
      <c r="R799" s="89"/>
      <c r="S799" s="89"/>
      <c r="T799" s="89"/>
      <c r="U799" s="89"/>
      <c r="V799" s="89"/>
      <c r="W799" s="89"/>
      <c r="X799" s="89"/>
      <c r="Y799" s="89"/>
      <c r="Z799" s="89"/>
      <c r="AA799" s="89"/>
      <c r="AB799" s="89"/>
      <c r="AC799" s="89"/>
      <c r="AD799" s="89"/>
    </row>
    <row r="800" spans="18:30" x14ac:dyDescent="0.3">
      <c r="R800" s="89"/>
      <c r="S800" s="89"/>
      <c r="T800" s="89"/>
      <c r="U800" s="89"/>
      <c r="V800" s="89"/>
      <c r="W800" s="89"/>
      <c r="X800" s="89"/>
      <c r="Y800" s="89"/>
      <c r="Z800" s="89"/>
      <c r="AA800" s="89"/>
      <c r="AB800" s="89"/>
      <c r="AC800" s="89"/>
      <c r="AD800" s="89"/>
    </row>
    <row r="801" spans="18:30" x14ac:dyDescent="0.3">
      <c r="R801" s="89"/>
      <c r="S801" s="89"/>
      <c r="T801" s="89"/>
      <c r="U801" s="89"/>
      <c r="V801" s="89"/>
      <c r="W801" s="89"/>
      <c r="X801" s="89"/>
      <c r="Y801" s="89"/>
      <c r="Z801" s="89"/>
      <c r="AA801" s="89"/>
      <c r="AB801" s="89"/>
      <c r="AC801" s="89"/>
      <c r="AD801" s="89"/>
    </row>
    <row r="802" spans="18:30" x14ac:dyDescent="0.3">
      <c r="R802" s="89"/>
      <c r="S802" s="89"/>
      <c r="T802" s="89"/>
      <c r="U802" s="89"/>
      <c r="V802" s="89"/>
      <c r="W802" s="89"/>
      <c r="X802" s="89"/>
      <c r="Y802" s="89"/>
      <c r="Z802" s="89"/>
      <c r="AA802" s="89"/>
      <c r="AB802" s="89"/>
      <c r="AC802" s="89"/>
      <c r="AD802" s="89"/>
    </row>
    <row r="803" spans="18:30" x14ac:dyDescent="0.3">
      <c r="R803" s="89"/>
      <c r="S803" s="89"/>
      <c r="T803" s="89"/>
      <c r="U803" s="89"/>
      <c r="V803" s="89"/>
      <c r="W803" s="89"/>
      <c r="X803" s="89"/>
      <c r="Y803" s="89"/>
      <c r="Z803" s="89"/>
      <c r="AA803" s="89"/>
      <c r="AB803" s="89"/>
      <c r="AC803" s="89"/>
      <c r="AD803" s="89"/>
    </row>
    <row r="804" spans="18:30" x14ac:dyDescent="0.3">
      <c r="R804" s="89"/>
      <c r="S804" s="89"/>
      <c r="T804" s="89"/>
      <c r="U804" s="89"/>
      <c r="V804" s="89"/>
      <c r="W804" s="89"/>
      <c r="X804" s="89"/>
      <c r="Y804" s="89"/>
      <c r="Z804" s="89"/>
      <c r="AA804" s="89"/>
      <c r="AB804" s="89"/>
      <c r="AC804" s="89"/>
      <c r="AD804" s="89"/>
    </row>
    <row r="805" spans="18:30" x14ac:dyDescent="0.3"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</row>
    <row r="806" spans="18:30" x14ac:dyDescent="0.3"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</row>
    <row r="807" spans="18:30" x14ac:dyDescent="0.3"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</row>
    <row r="808" spans="18:30" x14ac:dyDescent="0.3"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</row>
    <row r="809" spans="18:30" x14ac:dyDescent="0.3"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</row>
    <row r="810" spans="18:30" x14ac:dyDescent="0.3"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</row>
    <row r="811" spans="18:30" x14ac:dyDescent="0.3"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</row>
    <row r="812" spans="18:30" x14ac:dyDescent="0.3"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</row>
    <row r="813" spans="18:30" x14ac:dyDescent="0.3"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</row>
    <row r="814" spans="18:30" x14ac:dyDescent="0.3"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</row>
    <row r="815" spans="18:30" x14ac:dyDescent="0.3"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</row>
    <row r="816" spans="18:30" x14ac:dyDescent="0.3"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</row>
    <row r="817" spans="18:30" x14ac:dyDescent="0.3"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</row>
    <row r="818" spans="18:30" x14ac:dyDescent="0.3"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</row>
    <row r="819" spans="18:30" x14ac:dyDescent="0.3"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</row>
    <row r="820" spans="18:30" x14ac:dyDescent="0.3"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</row>
    <row r="821" spans="18:30" x14ac:dyDescent="0.3"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</row>
    <row r="822" spans="18:30" x14ac:dyDescent="0.3"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</row>
    <row r="823" spans="18:30" x14ac:dyDescent="0.3"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</row>
    <row r="824" spans="18:30" x14ac:dyDescent="0.3"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</row>
    <row r="825" spans="18:30" x14ac:dyDescent="0.3"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</row>
    <row r="826" spans="18:30" x14ac:dyDescent="0.3"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</row>
    <row r="827" spans="18:30" x14ac:dyDescent="0.3"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</row>
    <row r="828" spans="18:30" x14ac:dyDescent="0.3"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</row>
    <row r="829" spans="18:30" x14ac:dyDescent="0.3"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</row>
    <row r="830" spans="18:30" x14ac:dyDescent="0.3"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</row>
    <row r="831" spans="18:30" x14ac:dyDescent="0.3"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</row>
    <row r="832" spans="18:30" x14ac:dyDescent="0.3"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</row>
    <row r="833" spans="18:30" x14ac:dyDescent="0.3"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</row>
    <row r="834" spans="18:30" x14ac:dyDescent="0.3"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</row>
    <row r="835" spans="18:30" x14ac:dyDescent="0.3"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</row>
    <row r="836" spans="18:30" x14ac:dyDescent="0.3"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</row>
    <row r="837" spans="18:30" x14ac:dyDescent="0.3"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</row>
    <row r="838" spans="18:30" x14ac:dyDescent="0.3"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</row>
    <row r="839" spans="18:30" x14ac:dyDescent="0.3"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</row>
    <row r="840" spans="18:30" x14ac:dyDescent="0.3"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</row>
    <row r="841" spans="18:30" x14ac:dyDescent="0.3"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</row>
    <row r="842" spans="18:30" x14ac:dyDescent="0.3"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</row>
    <row r="843" spans="18:30" x14ac:dyDescent="0.3"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</row>
    <row r="844" spans="18:30" x14ac:dyDescent="0.3"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</row>
    <row r="845" spans="18:30" x14ac:dyDescent="0.3"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</row>
    <row r="846" spans="18:30" x14ac:dyDescent="0.3"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</row>
    <row r="847" spans="18:30" x14ac:dyDescent="0.3"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</row>
    <row r="848" spans="18:30" x14ac:dyDescent="0.3"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</row>
    <row r="849" spans="18:30" x14ac:dyDescent="0.3"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</row>
    <row r="850" spans="18:30" x14ac:dyDescent="0.3"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</row>
    <row r="851" spans="18:30" x14ac:dyDescent="0.3"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</row>
    <row r="852" spans="18:30" x14ac:dyDescent="0.3"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</row>
    <row r="853" spans="18:30" x14ac:dyDescent="0.3"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</row>
    <row r="854" spans="18:30" x14ac:dyDescent="0.3"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</row>
    <row r="855" spans="18:30" x14ac:dyDescent="0.3"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</row>
    <row r="856" spans="18:30" x14ac:dyDescent="0.3"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</row>
    <row r="857" spans="18:30" x14ac:dyDescent="0.3"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</row>
    <row r="858" spans="18:30" x14ac:dyDescent="0.3"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</row>
    <row r="859" spans="18:30" x14ac:dyDescent="0.3"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</row>
    <row r="860" spans="18:30" x14ac:dyDescent="0.3"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</row>
    <row r="861" spans="18:30" x14ac:dyDescent="0.3"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</row>
    <row r="862" spans="18:30" x14ac:dyDescent="0.3"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</row>
    <row r="863" spans="18:30" x14ac:dyDescent="0.3"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</row>
    <row r="864" spans="18:30" x14ac:dyDescent="0.3"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</row>
    <row r="865" spans="18:30" x14ac:dyDescent="0.3"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</row>
    <row r="866" spans="18:30" x14ac:dyDescent="0.3"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</row>
    <row r="867" spans="18:30" x14ac:dyDescent="0.3"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</row>
    <row r="868" spans="18:30" x14ac:dyDescent="0.3"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</row>
    <row r="869" spans="18:30" x14ac:dyDescent="0.3"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</row>
    <row r="870" spans="18:30" x14ac:dyDescent="0.3"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</row>
    <row r="871" spans="18:30" x14ac:dyDescent="0.3"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</row>
    <row r="872" spans="18:30" x14ac:dyDescent="0.3"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</row>
    <row r="873" spans="18:30" x14ac:dyDescent="0.3"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</row>
    <row r="874" spans="18:30" x14ac:dyDescent="0.3"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</row>
    <row r="875" spans="18:30" x14ac:dyDescent="0.3"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</row>
    <row r="876" spans="18:30" x14ac:dyDescent="0.3"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</row>
    <row r="877" spans="18:30" x14ac:dyDescent="0.3"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</row>
    <row r="878" spans="18:30" x14ac:dyDescent="0.3"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</row>
    <row r="879" spans="18:30" x14ac:dyDescent="0.3"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</row>
    <row r="880" spans="18:30" x14ac:dyDescent="0.3"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</row>
    <row r="881" spans="18:30" x14ac:dyDescent="0.3"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</row>
    <row r="882" spans="18:30" x14ac:dyDescent="0.3"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</row>
    <row r="883" spans="18:30" x14ac:dyDescent="0.3"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</row>
    <row r="884" spans="18:30" x14ac:dyDescent="0.3"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</row>
    <row r="885" spans="18:30" x14ac:dyDescent="0.3"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</row>
    <row r="886" spans="18:30" x14ac:dyDescent="0.3"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</row>
    <row r="887" spans="18:30" x14ac:dyDescent="0.3"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</row>
    <row r="888" spans="18:30" x14ac:dyDescent="0.3"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</row>
    <row r="889" spans="18:30" x14ac:dyDescent="0.3"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</row>
    <row r="890" spans="18:30" x14ac:dyDescent="0.3"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</row>
    <row r="891" spans="18:30" x14ac:dyDescent="0.3"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</row>
    <row r="892" spans="18:30" x14ac:dyDescent="0.3"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</row>
    <row r="893" spans="18:30" x14ac:dyDescent="0.3"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</row>
    <row r="894" spans="18:30" x14ac:dyDescent="0.3"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</row>
    <row r="895" spans="18:30" x14ac:dyDescent="0.3"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</row>
    <row r="896" spans="18:30" x14ac:dyDescent="0.3"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</row>
    <row r="897" spans="18:30" x14ac:dyDescent="0.3"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</row>
    <row r="898" spans="18:30" x14ac:dyDescent="0.3"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</row>
    <row r="899" spans="18:30" x14ac:dyDescent="0.3"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</row>
    <row r="900" spans="18:30" x14ac:dyDescent="0.3"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</row>
    <row r="901" spans="18:30" x14ac:dyDescent="0.3"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</row>
    <row r="902" spans="18:30" x14ac:dyDescent="0.3"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</row>
    <row r="903" spans="18:30" x14ac:dyDescent="0.3"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</row>
    <row r="904" spans="18:30" x14ac:dyDescent="0.3"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</row>
    <row r="905" spans="18:30" x14ac:dyDescent="0.3"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</row>
    <row r="906" spans="18:30" x14ac:dyDescent="0.3"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</row>
    <row r="907" spans="18:30" x14ac:dyDescent="0.3"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</row>
    <row r="908" spans="18:30" x14ac:dyDescent="0.3"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</row>
    <row r="909" spans="18:30" x14ac:dyDescent="0.3"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</row>
    <row r="910" spans="18:30" x14ac:dyDescent="0.3"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</row>
    <row r="911" spans="18:30" x14ac:dyDescent="0.3"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</row>
    <row r="912" spans="18:30" x14ac:dyDescent="0.3"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</row>
    <row r="913" spans="18:30" x14ac:dyDescent="0.3"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</row>
    <row r="914" spans="18:30" x14ac:dyDescent="0.3"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</row>
    <row r="915" spans="18:30" x14ac:dyDescent="0.3"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</row>
    <row r="916" spans="18:30" x14ac:dyDescent="0.3"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</row>
    <row r="917" spans="18:30" x14ac:dyDescent="0.3"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</row>
    <row r="918" spans="18:30" x14ac:dyDescent="0.3"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</row>
    <row r="919" spans="18:30" x14ac:dyDescent="0.3"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</row>
    <row r="920" spans="18:30" x14ac:dyDescent="0.3"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</row>
    <row r="921" spans="18:30" x14ac:dyDescent="0.3"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</row>
    <row r="922" spans="18:30" x14ac:dyDescent="0.3"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</row>
    <row r="923" spans="18:30" x14ac:dyDescent="0.3"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</row>
    <row r="924" spans="18:30" x14ac:dyDescent="0.3"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</row>
    <row r="925" spans="18:30" x14ac:dyDescent="0.3"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</row>
    <row r="926" spans="18:30" x14ac:dyDescent="0.3"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</row>
    <row r="927" spans="18:30" x14ac:dyDescent="0.3"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</row>
    <row r="928" spans="18:30" x14ac:dyDescent="0.3"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</row>
    <row r="929" spans="18:30" x14ac:dyDescent="0.3"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</row>
    <row r="930" spans="18:30" x14ac:dyDescent="0.3"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</row>
    <row r="931" spans="18:30" x14ac:dyDescent="0.3"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</row>
    <row r="932" spans="18:30" x14ac:dyDescent="0.3"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</row>
    <row r="933" spans="18:30" x14ac:dyDescent="0.3"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</row>
    <row r="934" spans="18:30" x14ac:dyDescent="0.3"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</row>
    <row r="935" spans="18:30" x14ac:dyDescent="0.3"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</row>
    <row r="936" spans="18:30" x14ac:dyDescent="0.3"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</row>
    <row r="937" spans="18:30" x14ac:dyDescent="0.3"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</row>
    <row r="938" spans="18:30" x14ac:dyDescent="0.3"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</row>
    <row r="939" spans="18:30" x14ac:dyDescent="0.3"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</row>
    <row r="940" spans="18:30" x14ac:dyDescent="0.3"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</row>
    <row r="941" spans="18:30" x14ac:dyDescent="0.3"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</row>
    <row r="942" spans="18:30" x14ac:dyDescent="0.3"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</row>
    <row r="943" spans="18:30" x14ac:dyDescent="0.3"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</row>
    <row r="944" spans="18:30" x14ac:dyDescent="0.3"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</row>
    <row r="945" spans="18:30" x14ac:dyDescent="0.3"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</row>
    <row r="946" spans="18:30" x14ac:dyDescent="0.3"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</row>
    <row r="947" spans="18:30" x14ac:dyDescent="0.3"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</row>
    <row r="948" spans="18:30" x14ac:dyDescent="0.3"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</row>
    <row r="949" spans="18:30" x14ac:dyDescent="0.3"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</row>
    <row r="950" spans="18:30" x14ac:dyDescent="0.3"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</row>
    <row r="951" spans="18:30" x14ac:dyDescent="0.3"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</row>
    <row r="952" spans="18:30" x14ac:dyDescent="0.3"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</row>
    <row r="953" spans="18:30" x14ac:dyDescent="0.3"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</row>
    <row r="954" spans="18:30" x14ac:dyDescent="0.3"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</row>
    <row r="955" spans="18:30" x14ac:dyDescent="0.3"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</row>
    <row r="956" spans="18:30" x14ac:dyDescent="0.3"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</row>
    <row r="957" spans="18:30" x14ac:dyDescent="0.3"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</row>
    <row r="958" spans="18:30" x14ac:dyDescent="0.3"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</row>
    <row r="959" spans="18:30" x14ac:dyDescent="0.3"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</row>
    <row r="960" spans="18:30" x14ac:dyDescent="0.3"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</row>
    <row r="961" spans="18:30" x14ac:dyDescent="0.3"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</row>
    <row r="962" spans="18:30" x14ac:dyDescent="0.3"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</row>
    <row r="963" spans="18:30" x14ac:dyDescent="0.3"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</row>
    <row r="964" spans="18:30" x14ac:dyDescent="0.3"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</row>
    <row r="965" spans="18:30" x14ac:dyDescent="0.3"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</row>
    <row r="966" spans="18:30" x14ac:dyDescent="0.3"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</row>
    <row r="967" spans="18:30" x14ac:dyDescent="0.3"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</row>
    <row r="968" spans="18:30" x14ac:dyDescent="0.3"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</row>
    <row r="969" spans="18:30" x14ac:dyDescent="0.3"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</row>
    <row r="970" spans="18:30" x14ac:dyDescent="0.3"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</row>
    <row r="971" spans="18:30" x14ac:dyDescent="0.3"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</row>
    <row r="972" spans="18:30" x14ac:dyDescent="0.3"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</row>
    <row r="973" spans="18:30" x14ac:dyDescent="0.3"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</row>
    <row r="974" spans="18:30" x14ac:dyDescent="0.3"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</row>
    <row r="975" spans="18:30" x14ac:dyDescent="0.3"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</row>
    <row r="976" spans="18:30" x14ac:dyDescent="0.3"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</row>
    <row r="977" spans="18:30" x14ac:dyDescent="0.3"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</row>
    <row r="978" spans="18:30" x14ac:dyDescent="0.3"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</row>
    <row r="979" spans="18:30" x14ac:dyDescent="0.3"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</row>
    <row r="980" spans="18:30" x14ac:dyDescent="0.3"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</row>
    <row r="981" spans="18:30" x14ac:dyDescent="0.3"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</row>
    <row r="982" spans="18:30" x14ac:dyDescent="0.3"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</row>
    <row r="983" spans="18:30" x14ac:dyDescent="0.3"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</row>
    <row r="984" spans="18:30" x14ac:dyDescent="0.3"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</row>
    <row r="985" spans="18:30" x14ac:dyDescent="0.3"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</row>
    <row r="986" spans="18:30" x14ac:dyDescent="0.3"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</row>
    <row r="987" spans="18:30" x14ac:dyDescent="0.3"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</row>
    <row r="988" spans="18:30" x14ac:dyDescent="0.3"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</row>
    <row r="989" spans="18:30" x14ac:dyDescent="0.3"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</row>
    <row r="990" spans="18:30" x14ac:dyDescent="0.3"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</row>
    <row r="991" spans="18:30" x14ac:dyDescent="0.3"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</row>
    <row r="992" spans="18:30" x14ac:dyDescent="0.3"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</row>
    <row r="993" spans="18:30" x14ac:dyDescent="0.3"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</row>
    <row r="994" spans="18:30" x14ac:dyDescent="0.3"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</row>
    <row r="995" spans="18:30" x14ac:dyDescent="0.3"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</row>
    <row r="996" spans="18:30" x14ac:dyDescent="0.3"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</row>
    <row r="997" spans="18:30" x14ac:dyDescent="0.3"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</row>
    <row r="998" spans="18:30" x14ac:dyDescent="0.3"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</row>
    <row r="999" spans="18:30" x14ac:dyDescent="0.3"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</row>
    <row r="1000" spans="18:30" x14ac:dyDescent="0.3"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</row>
    <row r="1001" spans="18:30" x14ac:dyDescent="0.3"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</row>
    <row r="1002" spans="18:30" x14ac:dyDescent="0.3"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</row>
    <row r="1003" spans="18:30" x14ac:dyDescent="0.3"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</row>
    <row r="1004" spans="18:30" x14ac:dyDescent="0.3"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</row>
    <row r="1005" spans="18:30" x14ac:dyDescent="0.3">
      <c r="R1005" s="89"/>
      <c r="S1005" s="89"/>
      <c r="T1005" s="89"/>
      <c r="U1005" s="89"/>
      <c r="V1005" s="89"/>
      <c r="W1005" s="89"/>
      <c r="X1005" s="89"/>
      <c r="Y1005" s="89"/>
      <c r="Z1005" s="89"/>
      <c r="AA1005" s="89"/>
      <c r="AB1005" s="89"/>
      <c r="AC1005" s="89"/>
      <c r="AD1005" s="89"/>
    </row>
    <row r="1006" spans="18:30" x14ac:dyDescent="0.3">
      <c r="R1006" s="89"/>
      <c r="S1006" s="89"/>
      <c r="T1006" s="89"/>
      <c r="U1006" s="89"/>
      <c r="V1006" s="89"/>
      <c r="W1006" s="89"/>
      <c r="X1006" s="89"/>
      <c r="Y1006" s="89"/>
      <c r="Z1006" s="89"/>
      <c r="AA1006" s="89"/>
      <c r="AB1006" s="89"/>
      <c r="AC1006" s="89"/>
      <c r="AD1006" s="89"/>
    </row>
    <row r="1007" spans="18:30" x14ac:dyDescent="0.3">
      <c r="R1007" s="89"/>
      <c r="S1007" s="89"/>
      <c r="T1007" s="89"/>
      <c r="U1007" s="89"/>
      <c r="V1007" s="89"/>
      <c r="W1007" s="89"/>
      <c r="X1007" s="89"/>
      <c r="Y1007" s="89"/>
      <c r="Z1007" s="89"/>
      <c r="AA1007" s="89"/>
      <c r="AB1007" s="89"/>
      <c r="AC1007" s="89"/>
      <c r="AD1007" s="89"/>
    </row>
    <row r="1008" spans="18:30" x14ac:dyDescent="0.3">
      <c r="R1008" s="89"/>
      <c r="S1008" s="89"/>
      <c r="T1008" s="89"/>
      <c r="U1008" s="89"/>
      <c r="V1008" s="89"/>
      <c r="W1008" s="89"/>
      <c r="X1008" s="89"/>
      <c r="Y1008" s="89"/>
      <c r="Z1008" s="89"/>
      <c r="AA1008" s="89"/>
      <c r="AB1008" s="89"/>
      <c r="AC1008" s="89"/>
      <c r="AD1008" s="89"/>
    </row>
    <row r="1009" spans="18:30" x14ac:dyDescent="0.3">
      <c r="R1009" s="89"/>
      <c r="S1009" s="89"/>
      <c r="T1009" s="89"/>
      <c r="U1009" s="89"/>
      <c r="V1009" s="89"/>
      <c r="W1009" s="89"/>
      <c r="X1009" s="89"/>
      <c r="Y1009" s="89"/>
      <c r="Z1009" s="89"/>
      <c r="AA1009" s="89"/>
      <c r="AB1009" s="89"/>
      <c r="AC1009" s="89"/>
      <c r="AD1009" s="89"/>
    </row>
    <row r="1010" spans="18:30" x14ac:dyDescent="0.3">
      <c r="R1010" s="89"/>
      <c r="S1010" s="89"/>
      <c r="T1010" s="89"/>
      <c r="U1010" s="89"/>
      <c r="V1010" s="89"/>
      <c r="W1010" s="89"/>
      <c r="X1010" s="89"/>
      <c r="Y1010" s="89"/>
      <c r="Z1010" s="89"/>
      <c r="AA1010" s="89"/>
      <c r="AB1010" s="89"/>
      <c r="AC1010" s="89"/>
      <c r="AD1010" s="89"/>
    </row>
    <row r="1011" spans="18:30" x14ac:dyDescent="0.3">
      <c r="R1011" s="89"/>
      <c r="S1011" s="89"/>
      <c r="T1011" s="89"/>
      <c r="U1011" s="89"/>
      <c r="V1011" s="89"/>
      <c r="W1011" s="89"/>
      <c r="X1011" s="89"/>
      <c r="Y1011" s="89"/>
      <c r="Z1011" s="89"/>
      <c r="AA1011" s="89"/>
      <c r="AB1011" s="89"/>
      <c r="AC1011" s="89"/>
      <c r="AD1011" s="89"/>
    </row>
    <row r="1012" spans="18:30" x14ac:dyDescent="0.3">
      <c r="R1012" s="89"/>
      <c r="S1012" s="89"/>
      <c r="T1012" s="89"/>
      <c r="U1012" s="89"/>
      <c r="V1012" s="89"/>
      <c r="W1012" s="89"/>
      <c r="X1012" s="89"/>
      <c r="Y1012" s="89"/>
      <c r="Z1012" s="89"/>
      <c r="AA1012" s="89"/>
      <c r="AB1012" s="89"/>
      <c r="AC1012" s="89"/>
      <c r="AD1012" s="89"/>
    </row>
    <row r="1013" spans="18:30" x14ac:dyDescent="0.3">
      <c r="R1013" s="89"/>
      <c r="S1013" s="89"/>
      <c r="T1013" s="89"/>
      <c r="U1013" s="89"/>
      <c r="V1013" s="89"/>
      <c r="W1013" s="89"/>
      <c r="X1013" s="89"/>
      <c r="Y1013" s="89"/>
      <c r="Z1013" s="89"/>
      <c r="AA1013" s="89"/>
      <c r="AB1013" s="89"/>
      <c r="AC1013" s="89"/>
      <c r="AD1013" s="89"/>
    </row>
    <row r="1014" spans="18:30" x14ac:dyDescent="0.3">
      <c r="R1014" s="89"/>
      <c r="S1014" s="89"/>
      <c r="T1014" s="89"/>
      <c r="U1014" s="89"/>
      <c r="V1014" s="89"/>
      <c r="W1014" s="89"/>
      <c r="X1014" s="89"/>
      <c r="Y1014" s="89"/>
      <c r="Z1014" s="89"/>
      <c r="AA1014" s="89"/>
      <c r="AB1014" s="89"/>
      <c r="AC1014" s="89"/>
      <c r="AD1014" s="89"/>
    </row>
    <row r="1015" spans="18:30" x14ac:dyDescent="0.3">
      <c r="R1015" s="89"/>
      <c r="S1015" s="89"/>
      <c r="T1015" s="89"/>
      <c r="U1015" s="89"/>
      <c r="V1015" s="89"/>
      <c r="W1015" s="89"/>
      <c r="X1015" s="89"/>
      <c r="Y1015" s="89"/>
      <c r="Z1015" s="89"/>
      <c r="AA1015" s="89"/>
      <c r="AB1015" s="89"/>
      <c r="AC1015" s="89"/>
      <c r="AD1015" s="89"/>
    </row>
    <row r="1016" spans="18:30" x14ac:dyDescent="0.3">
      <c r="R1016" s="89"/>
      <c r="S1016" s="89"/>
      <c r="T1016" s="89"/>
      <c r="U1016" s="89"/>
      <c r="V1016" s="89"/>
      <c r="W1016" s="89"/>
      <c r="X1016" s="89"/>
      <c r="Y1016" s="89"/>
      <c r="Z1016" s="89"/>
      <c r="AA1016" s="89"/>
      <c r="AB1016" s="89"/>
      <c r="AC1016" s="89"/>
      <c r="AD1016" s="89"/>
    </row>
    <row r="1017" spans="18:30" x14ac:dyDescent="0.3">
      <c r="R1017" s="89"/>
      <c r="S1017" s="89"/>
      <c r="T1017" s="89"/>
      <c r="U1017" s="89"/>
      <c r="V1017" s="89"/>
      <c r="W1017" s="89"/>
      <c r="X1017" s="89"/>
      <c r="Y1017" s="89"/>
      <c r="Z1017" s="89"/>
      <c r="AA1017" s="89"/>
      <c r="AB1017" s="89"/>
      <c r="AC1017" s="89"/>
      <c r="AD1017" s="89"/>
    </row>
    <row r="1018" spans="18:30" x14ac:dyDescent="0.3">
      <c r="R1018" s="89"/>
      <c r="S1018" s="89"/>
      <c r="T1018" s="89"/>
      <c r="U1018" s="89"/>
      <c r="V1018" s="89"/>
      <c r="W1018" s="89"/>
      <c r="X1018" s="89"/>
      <c r="Y1018" s="89"/>
      <c r="Z1018" s="89"/>
      <c r="AA1018" s="89"/>
      <c r="AB1018" s="89"/>
      <c r="AC1018" s="89"/>
      <c r="AD1018" s="89"/>
    </row>
    <row r="1019" spans="18:30" x14ac:dyDescent="0.3">
      <c r="R1019" s="89"/>
      <c r="S1019" s="89"/>
      <c r="T1019" s="89"/>
      <c r="U1019" s="89"/>
      <c r="V1019" s="89"/>
      <c r="W1019" s="89"/>
      <c r="X1019" s="89"/>
      <c r="Y1019" s="89"/>
      <c r="Z1019" s="89"/>
      <c r="AA1019" s="89"/>
      <c r="AB1019" s="89"/>
      <c r="AC1019" s="89"/>
      <c r="AD1019" s="89"/>
    </row>
    <row r="1020" spans="18:30" x14ac:dyDescent="0.3">
      <c r="R1020" s="89"/>
      <c r="S1020" s="89"/>
      <c r="T1020" s="89"/>
      <c r="U1020" s="89"/>
      <c r="V1020" s="89"/>
      <c r="W1020" s="89"/>
      <c r="X1020" s="89"/>
      <c r="Y1020" s="89"/>
      <c r="Z1020" s="89"/>
      <c r="AA1020" s="89"/>
      <c r="AB1020" s="89"/>
      <c r="AC1020" s="89"/>
      <c r="AD1020" s="89"/>
    </row>
    <row r="1021" spans="18:30" x14ac:dyDescent="0.3">
      <c r="R1021" s="89"/>
      <c r="S1021" s="89"/>
      <c r="T1021" s="89"/>
      <c r="U1021" s="89"/>
      <c r="V1021" s="89"/>
      <c r="W1021" s="89"/>
      <c r="X1021" s="89"/>
      <c r="Y1021" s="89"/>
      <c r="Z1021" s="89"/>
      <c r="AA1021" s="89"/>
      <c r="AB1021" s="89"/>
      <c r="AC1021" s="89"/>
      <c r="AD1021" s="89"/>
    </row>
    <row r="1022" spans="18:30" x14ac:dyDescent="0.3">
      <c r="R1022" s="89"/>
      <c r="S1022" s="89"/>
      <c r="T1022" s="89"/>
      <c r="U1022" s="89"/>
      <c r="V1022" s="89"/>
      <c r="W1022" s="89"/>
      <c r="X1022" s="89"/>
      <c r="Y1022" s="89"/>
      <c r="Z1022" s="89"/>
      <c r="AA1022" s="89"/>
      <c r="AB1022" s="89"/>
      <c r="AC1022" s="89"/>
      <c r="AD1022" s="89"/>
    </row>
    <row r="1023" spans="18:30" x14ac:dyDescent="0.3">
      <c r="R1023" s="89"/>
      <c r="S1023" s="89"/>
      <c r="T1023" s="89"/>
      <c r="U1023" s="89"/>
      <c r="V1023" s="89"/>
      <c r="W1023" s="89"/>
      <c r="X1023" s="89"/>
      <c r="Y1023" s="89"/>
      <c r="Z1023" s="89"/>
      <c r="AA1023" s="89"/>
      <c r="AB1023" s="89"/>
      <c r="AC1023" s="89"/>
      <c r="AD1023" s="89"/>
    </row>
    <row r="1024" spans="18:30" x14ac:dyDescent="0.3">
      <c r="R1024" s="89"/>
      <c r="S1024" s="89"/>
      <c r="T1024" s="89"/>
      <c r="U1024" s="89"/>
      <c r="V1024" s="89"/>
      <c r="W1024" s="89"/>
      <c r="X1024" s="89"/>
      <c r="Y1024" s="89"/>
      <c r="Z1024" s="89"/>
      <c r="AA1024" s="89"/>
      <c r="AB1024" s="89"/>
      <c r="AC1024" s="89"/>
      <c r="AD1024" s="89"/>
    </row>
    <row r="1025" spans="18:30" x14ac:dyDescent="0.3">
      <c r="R1025" s="89"/>
      <c r="S1025" s="89"/>
      <c r="T1025" s="89"/>
      <c r="U1025" s="89"/>
      <c r="V1025" s="89"/>
      <c r="W1025" s="89"/>
      <c r="X1025" s="89"/>
      <c r="Y1025" s="89"/>
      <c r="Z1025" s="89"/>
      <c r="AA1025" s="89"/>
      <c r="AB1025" s="89"/>
      <c r="AC1025" s="89"/>
      <c r="AD1025" s="89"/>
    </row>
    <row r="1026" spans="18:30" x14ac:dyDescent="0.3">
      <c r="R1026" s="89"/>
      <c r="S1026" s="89"/>
      <c r="T1026" s="89"/>
      <c r="U1026" s="89"/>
      <c r="V1026" s="89"/>
      <c r="W1026" s="89"/>
      <c r="X1026" s="89"/>
      <c r="Y1026" s="89"/>
      <c r="Z1026" s="89"/>
      <c r="AA1026" s="89"/>
      <c r="AB1026" s="89"/>
      <c r="AC1026" s="89"/>
      <c r="AD1026" s="89"/>
    </row>
    <row r="1027" spans="18:30" x14ac:dyDescent="0.3">
      <c r="R1027" s="89"/>
      <c r="S1027" s="89"/>
      <c r="T1027" s="89"/>
      <c r="U1027" s="89"/>
      <c r="V1027" s="89"/>
      <c r="W1027" s="89"/>
      <c r="X1027" s="89"/>
      <c r="Y1027" s="89"/>
      <c r="Z1027" s="89"/>
      <c r="AA1027" s="89"/>
      <c r="AB1027" s="89"/>
      <c r="AC1027" s="89"/>
      <c r="AD1027" s="89"/>
    </row>
    <row r="1028" spans="18:30" x14ac:dyDescent="0.3">
      <c r="R1028" s="89"/>
      <c r="S1028" s="89"/>
      <c r="T1028" s="89"/>
      <c r="U1028" s="89"/>
      <c r="V1028" s="89"/>
      <c r="W1028" s="89"/>
      <c r="X1028" s="89"/>
      <c r="Y1028" s="89"/>
      <c r="Z1028" s="89"/>
      <c r="AA1028" s="89"/>
      <c r="AB1028" s="89"/>
      <c r="AC1028" s="89"/>
      <c r="AD1028" s="89"/>
    </row>
    <row r="1029" spans="18:30" x14ac:dyDescent="0.3">
      <c r="R1029" s="89"/>
      <c r="S1029" s="89"/>
      <c r="T1029" s="89"/>
      <c r="U1029" s="89"/>
      <c r="V1029" s="89"/>
      <c r="W1029" s="89"/>
      <c r="X1029" s="89"/>
      <c r="Y1029" s="89"/>
      <c r="Z1029" s="89"/>
      <c r="AA1029" s="89"/>
      <c r="AB1029" s="89"/>
      <c r="AC1029" s="89"/>
      <c r="AD1029" s="89"/>
    </row>
    <row r="1030" spans="18:30" x14ac:dyDescent="0.3">
      <c r="R1030" s="89"/>
      <c r="S1030" s="89"/>
      <c r="T1030" s="89"/>
      <c r="U1030" s="89"/>
      <c r="V1030" s="89"/>
      <c r="W1030" s="89"/>
      <c r="X1030" s="89"/>
      <c r="Y1030" s="89"/>
      <c r="Z1030" s="89"/>
      <c r="AA1030" s="89"/>
      <c r="AB1030" s="89"/>
      <c r="AC1030" s="89"/>
      <c r="AD1030" s="89"/>
    </row>
    <row r="1031" spans="18:30" x14ac:dyDescent="0.3">
      <c r="R1031" s="89"/>
      <c r="S1031" s="89"/>
      <c r="T1031" s="89"/>
      <c r="U1031" s="89"/>
      <c r="V1031" s="89"/>
      <c r="W1031" s="89"/>
      <c r="X1031" s="89"/>
      <c r="Y1031" s="89"/>
      <c r="Z1031" s="89"/>
      <c r="AA1031" s="89"/>
      <c r="AB1031" s="89"/>
      <c r="AC1031" s="89"/>
      <c r="AD1031" s="89"/>
    </row>
    <row r="1032" spans="18:30" x14ac:dyDescent="0.3">
      <c r="R1032" s="89"/>
      <c r="S1032" s="89"/>
      <c r="T1032" s="89"/>
      <c r="U1032" s="89"/>
      <c r="V1032" s="89"/>
      <c r="W1032" s="89"/>
      <c r="X1032" s="89"/>
      <c r="Y1032" s="89"/>
      <c r="Z1032" s="89"/>
      <c r="AA1032" s="89"/>
      <c r="AB1032" s="89"/>
      <c r="AC1032" s="89"/>
      <c r="AD1032" s="89"/>
    </row>
    <row r="1033" spans="18:30" x14ac:dyDescent="0.3">
      <c r="R1033" s="89"/>
      <c r="S1033" s="89"/>
      <c r="T1033" s="89"/>
      <c r="U1033" s="89"/>
      <c r="V1033" s="89"/>
      <c r="W1033" s="89"/>
      <c r="X1033" s="89"/>
      <c r="Y1033" s="89"/>
      <c r="Z1033" s="89"/>
      <c r="AA1033" s="89"/>
      <c r="AB1033" s="89"/>
      <c r="AC1033" s="89"/>
      <c r="AD1033" s="89"/>
    </row>
    <row r="1034" spans="18:30" x14ac:dyDescent="0.3">
      <c r="R1034" s="89"/>
      <c r="S1034" s="89"/>
      <c r="T1034" s="89"/>
      <c r="U1034" s="89"/>
      <c r="V1034" s="89"/>
      <c r="W1034" s="89"/>
      <c r="X1034" s="89"/>
      <c r="Y1034" s="89"/>
      <c r="Z1034" s="89"/>
      <c r="AA1034" s="89"/>
      <c r="AB1034" s="89"/>
      <c r="AC1034" s="89"/>
      <c r="AD1034" s="89"/>
    </row>
    <row r="1035" spans="18:30" x14ac:dyDescent="0.3">
      <c r="R1035" s="89"/>
      <c r="S1035" s="89"/>
      <c r="T1035" s="89"/>
      <c r="U1035" s="89"/>
      <c r="V1035" s="89"/>
      <c r="W1035" s="89"/>
      <c r="X1035" s="89"/>
      <c r="Y1035" s="89"/>
      <c r="Z1035" s="89"/>
      <c r="AA1035" s="89"/>
      <c r="AB1035" s="89"/>
      <c r="AC1035" s="89"/>
      <c r="AD1035" s="89"/>
    </row>
    <row r="1036" spans="18:30" x14ac:dyDescent="0.3">
      <c r="R1036" s="89"/>
      <c r="S1036" s="89"/>
      <c r="T1036" s="89"/>
      <c r="U1036" s="89"/>
      <c r="V1036" s="89"/>
      <c r="W1036" s="89"/>
      <c r="X1036" s="89"/>
      <c r="Y1036" s="89"/>
      <c r="Z1036" s="89"/>
      <c r="AA1036" s="89"/>
      <c r="AB1036" s="89"/>
      <c r="AC1036" s="89"/>
      <c r="AD1036" s="89"/>
    </row>
    <row r="1037" spans="18:30" x14ac:dyDescent="0.3">
      <c r="R1037" s="89"/>
      <c r="S1037" s="89"/>
      <c r="T1037" s="89"/>
      <c r="U1037" s="89"/>
      <c r="V1037" s="89"/>
      <c r="W1037" s="89"/>
      <c r="X1037" s="89"/>
      <c r="Y1037" s="89"/>
      <c r="Z1037" s="89"/>
      <c r="AA1037" s="89"/>
      <c r="AB1037" s="89"/>
      <c r="AC1037" s="89"/>
      <c r="AD1037" s="89"/>
    </row>
    <row r="1038" spans="18:30" x14ac:dyDescent="0.3">
      <c r="R1038" s="89"/>
      <c r="S1038" s="89"/>
      <c r="T1038" s="89"/>
      <c r="U1038" s="89"/>
      <c r="V1038" s="89"/>
      <c r="W1038" s="89"/>
      <c r="X1038" s="89"/>
      <c r="Y1038" s="89"/>
      <c r="Z1038" s="89"/>
      <c r="AA1038" s="89"/>
      <c r="AB1038" s="89"/>
      <c r="AC1038" s="89"/>
      <c r="AD1038" s="89"/>
    </row>
    <row r="1039" spans="18:30" x14ac:dyDescent="0.3">
      <c r="R1039" s="89"/>
      <c r="S1039" s="89"/>
      <c r="T1039" s="89"/>
      <c r="U1039" s="89"/>
      <c r="V1039" s="89"/>
      <c r="W1039" s="89"/>
      <c r="X1039" s="89"/>
      <c r="Y1039" s="89"/>
      <c r="Z1039" s="89"/>
      <c r="AA1039" s="89"/>
      <c r="AB1039" s="89"/>
      <c r="AC1039" s="89"/>
      <c r="AD1039" s="89"/>
    </row>
    <row r="1040" spans="18:30" x14ac:dyDescent="0.3">
      <c r="R1040" s="89"/>
      <c r="S1040" s="89"/>
      <c r="T1040" s="89"/>
      <c r="U1040" s="89"/>
      <c r="V1040" s="89"/>
      <c r="W1040" s="89"/>
      <c r="X1040" s="89"/>
      <c r="Y1040" s="89"/>
      <c r="Z1040" s="89"/>
      <c r="AA1040" s="89"/>
      <c r="AB1040" s="89"/>
      <c r="AC1040" s="89"/>
      <c r="AD1040" s="89"/>
    </row>
    <row r="1041" spans="18:30" x14ac:dyDescent="0.3">
      <c r="R1041" s="89"/>
      <c r="S1041" s="89"/>
      <c r="T1041" s="89"/>
      <c r="U1041" s="89"/>
      <c r="V1041" s="89"/>
      <c r="W1041" s="89"/>
      <c r="X1041" s="89"/>
      <c r="Y1041" s="89"/>
      <c r="Z1041" s="89"/>
      <c r="AA1041" s="89"/>
      <c r="AB1041" s="89"/>
      <c r="AC1041" s="89"/>
      <c r="AD1041" s="89"/>
    </row>
    <row r="1042" spans="18:30" x14ac:dyDescent="0.3">
      <c r="R1042" s="89"/>
      <c r="S1042" s="89"/>
      <c r="T1042" s="89"/>
      <c r="U1042" s="89"/>
      <c r="V1042" s="89"/>
      <c r="W1042" s="89"/>
      <c r="X1042" s="89"/>
      <c r="Y1042" s="89"/>
      <c r="Z1042" s="89"/>
      <c r="AA1042" s="89"/>
      <c r="AB1042" s="89"/>
      <c r="AC1042" s="89"/>
      <c r="AD1042" s="89"/>
    </row>
    <row r="1043" spans="18:30" x14ac:dyDescent="0.3">
      <c r="R1043" s="89"/>
      <c r="S1043" s="89"/>
      <c r="T1043" s="89"/>
      <c r="U1043" s="89"/>
      <c r="V1043" s="89"/>
      <c r="W1043" s="89"/>
      <c r="X1043" s="89"/>
      <c r="Y1043" s="89"/>
      <c r="Z1043" s="89"/>
      <c r="AA1043" s="89"/>
      <c r="AB1043" s="89"/>
      <c r="AC1043" s="89"/>
      <c r="AD1043" s="89"/>
    </row>
    <row r="1044" spans="18:30" x14ac:dyDescent="0.3">
      <c r="R1044" s="89"/>
      <c r="S1044" s="89"/>
      <c r="T1044" s="89"/>
      <c r="U1044" s="89"/>
      <c r="V1044" s="89"/>
      <c r="W1044" s="89"/>
      <c r="X1044" s="89"/>
      <c r="Y1044" s="89"/>
      <c r="Z1044" s="89"/>
      <c r="AA1044" s="89"/>
      <c r="AB1044" s="89"/>
      <c r="AC1044" s="89"/>
      <c r="AD1044" s="89"/>
    </row>
    <row r="1045" spans="18:30" x14ac:dyDescent="0.3">
      <c r="R1045" s="89"/>
      <c r="S1045" s="89"/>
      <c r="T1045" s="89"/>
      <c r="U1045" s="89"/>
      <c r="V1045" s="89"/>
      <c r="W1045" s="89"/>
      <c r="X1045" s="89"/>
      <c r="Y1045" s="89"/>
      <c r="Z1045" s="89"/>
      <c r="AA1045" s="89"/>
      <c r="AB1045" s="89"/>
      <c r="AC1045" s="89"/>
      <c r="AD1045" s="89"/>
    </row>
    <row r="1046" spans="18:30" x14ac:dyDescent="0.3">
      <c r="R1046" s="89"/>
      <c r="S1046" s="89"/>
      <c r="T1046" s="89"/>
      <c r="U1046" s="89"/>
      <c r="V1046" s="89"/>
      <c r="W1046" s="89"/>
      <c r="X1046" s="89"/>
      <c r="Y1046" s="89"/>
      <c r="Z1046" s="89"/>
      <c r="AA1046" s="89"/>
      <c r="AB1046" s="89"/>
      <c r="AC1046" s="89"/>
      <c r="AD1046" s="89"/>
    </row>
    <row r="1047" spans="18:30" x14ac:dyDescent="0.3">
      <c r="R1047" s="89"/>
      <c r="S1047" s="89"/>
      <c r="T1047" s="89"/>
      <c r="U1047" s="89"/>
      <c r="V1047" s="89"/>
      <c r="W1047" s="89"/>
      <c r="X1047" s="89"/>
      <c r="Y1047" s="89"/>
      <c r="Z1047" s="89"/>
      <c r="AA1047" s="89"/>
      <c r="AB1047" s="89"/>
      <c r="AC1047" s="89"/>
      <c r="AD1047" s="89"/>
    </row>
    <row r="1048" spans="18:30" x14ac:dyDescent="0.3">
      <c r="R1048" s="89"/>
      <c r="S1048" s="89"/>
      <c r="T1048" s="89"/>
      <c r="U1048" s="89"/>
      <c r="V1048" s="89"/>
      <c r="W1048" s="89"/>
      <c r="X1048" s="89"/>
      <c r="Y1048" s="89"/>
      <c r="Z1048" s="89"/>
      <c r="AA1048" s="89"/>
      <c r="AB1048" s="89"/>
      <c r="AC1048" s="89"/>
      <c r="AD1048" s="89"/>
    </row>
    <row r="1049" spans="18:30" x14ac:dyDescent="0.3">
      <c r="R1049" s="89"/>
      <c r="S1049" s="89"/>
      <c r="T1049" s="89"/>
      <c r="U1049" s="89"/>
      <c r="V1049" s="89"/>
      <c r="W1049" s="89"/>
      <c r="X1049" s="89"/>
      <c r="Y1049" s="89"/>
      <c r="Z1049" s="89"/>
      <c r="AA1049" s="89"/>
      <c r="AB1049" s="89"/>
      <c r="AC1049" s="89"/>
      <c r="AD1049" s="89"/>
    </row>
    <row r="1050" spans="18:30" x14ac:dyDescent="0.3">
      <c r="R1050" s="89"/>
      <c r="S1050" s="89"/>
      <c r="T1050" s="89"/>
      <c r="U1050" s="89"/>
      <c r="V1050" s="89"/>
      <c r="W1050" s="89"/>
      <c r="X1050" s="89"/>
      <c r="Y1050" s="89"/>
      <c r="Z1050" s="89"/>
      <c r="AA1050" s="89"/>
      <c r="AB1050" s="89"/>
      <c r="AC1050" s="89"/>
      <c r="AD1050" s="89"/>
    </row>
    <row r="1051" spans="18:30" x14ac:dyDescent="0.3">
      <c r="R1051" s="89"/>
      <c r="S1051" s="89"/>
      <c r="T1051" s="89"/>
      <c r="U1051" s="89"/>
      <c r="V1051" s="89"/>
      <c r="W1051" s="89"/>
      <c r="X1051" s="89"/>
      <c r="Y1051" s="89"/>
      <c r="Z1051" s="89"/>
      <c r="AA1051" s="89"/>
      <c r="AB1051" s="89"/>
      <c r="AC1051" s="89"/>
      <c r="AD1051" s="89"/>
    </row>
    <row r="1052" spans="18:30" x14ac:dyDescent="0.3">
      <c r="R1052" s="89"/>
      <c r="S1052" s="89"/>
      <c r="T1052" s="89"/>
      <c r="U1052" s="89"/>
      <c r="V1052" s="89"/>
      <c r="W1052" s="89"/>
      <c r="X1052" s="89"/>
      <c r="Y1052" s="89"/>
      <c r="Z1052" s="89"/>
      <c r="AA1052" s="89"/>
      <c r="AB1052" s="89"/>
      <c r="AC1052" s="89"/>
      <c r="AD1052" s="89"/>
    </row>
    <row r="1053" spans="18:30" x14ac:dyDescent="0.3">
      <c r="R1053" s="89"/>
      <c r="S1053" s="89"/>
      <c r="T1053" s="89"/>
      <c r="U1053" s="89"/>
      <c r="V1053" s="89"/>
      <c r="W1053" s="89"/>
      <c r="X1053" s="89"/>
      <c r="Y1053" s="89"/>
      <c r="Z1053" s="89"/>
      <c r="AA1053" s="89"/>
      <c r="AB1053" s="89"/>
      <c r="AC1053" s="89"/>
      <c r="AD1053" s="89"/>
    </row>
    <row r="1054" spans="18:30" x14ac:dyDescent="0.3">
      <c r="R1054" s="89"/>
      <c r="S1054" s="89"/>
      <c r="T1054" s="89"/>
      <c r="U1054" s="89"/>
      <c r="V1054" s="89"/>
      <c r="W1054" s="89"/>
      <c r="X1054" s="89"/>
      <c r="Y1054" s="89"/>
      <c r="Z1054" s="89"/>
      <c r="AA1054" s="89"/>
      <c r="AB1054" s="89"/>
      <c r="AC1054" s="89"/>
      <c r="AD1054" s="89"/>
    </row>
    <row r="1055" spans="18:30" x14ac:dyDescent="0.3">
      <c r="R1055" s="89"/>
      <c r="S1055" s="89"/>
      <c r="T1055" s="89"/>
      <c r="U1055" s="89"/>
      <c r="V1055" s="89"/>
      <c r="W1055" s="89"/>
      <c r="X1055" s="89"/>
      <c r="Y1055" s="89"/>
      <c r="Z1055" s="89"/>
      <c r="AA1055" s="89"/>
      <c r="AB1055" s="89"/>
      <c r="AC1055" s="89"/>
      <c r="AD1055" s="89"/>
    </row>
    <row r="1056" spans="18:30" x14ac:dyDescent="0.3">
      <c r="R1056" s="89"/>
      <c r="S1056" s="89"/>
      <c r="T1056" s="89"/>
      <c r="U1056" s="89"/>
      <c r="V1056" s="89"/>
      <c r="W1056" s="89"/>
      <c r="X1056" s="89"/>
      <c r="Y1056" s="89"/>
      <c r="Z1056" s="89"/>
      <c r="AA1056" s="89"/>
      <c r="AB1056" s="89"/>
      <c r="AC1056" s="89"/>
      <c r="AD1056" s="89"/>
    </row>
    <row r="1057" spans="18:30" x14ac:dyDescent="0.3">
      <c r="R1057" s="89"/>
      <c r="S1057" s="89"/>
      <c r="T1057" s="89"/>
      <c r="U1057" s="89"/>
      <c r="V1057" s="89"/>
      <c r="W1057" s="89"/>
      <c r="X1057" s="89"/>
      <c r="Y1057" s="89"/>
      <c r="Z1057" s="89"/>
      <c r="AA1057" s="89"/>
      <c r="AB1057" s="89"/>
      <c r="AC1057" s="89"/>
      <c r="AD1057" s="89"/>
    </row>
    <row r="1058" spans="18:30" x14ac:dyDescent="0.3">
      <c r="R1058" s="89"/>
      <c r="S1058" s="89"/>
      <c r="T1058" s="89"/>
      <c r="U1058" s="89"/>
      <c r="V1058" s="89"/>
      <c r="W1058" s="89"/>
      <c r="X1058" s="89"/>
      <c r="Y1058" s="89"/>
      <c r="Z1058" s="89"/>
      <c r="AA1058" s="89"/>
      <c r="AB1058" s="89"/>
      <c r="AC1058" s="89"/>
      <c r="AD1058" s="89"/>
    </row>
    <row r="1059" spans="18:30" x14ac:dyDescent="0.3">
      <c r="R1059" s="89"/>
      <c r="S1059" s="89"/>
      <c r="T1059" s="89"/>
      <c r="U1059" s="89"/>
      <c r="V1059" s="89"/>
      <c r="W1059" s="89"/>
      <c r="X1059" s="89"/>
      <c r="Y1059" s="89"/>
      <c r="Z1059" s="89"/>
      <c r="AA1059" s="89"/>
      <c r="AB1059" s="89"/>
      <c r="AC1059" s="89"/>
      <c r="AD1059" s="89"/>
    </row>
    <row r="1060" spans="18:30" x14ac:dyDescent="0.3">
      <c r="R1060" s="89"/>
      <c r="S1060" s="89"/>
      <c r="T1060" s="89"/>
      <c r="U1060" s="89"/>
      <c r="V1060" s="89"/>
      <c r="W1060" s="89"/>
      <c r="X1060" s="89"/>
      <c r="Y1060" s="89"/>
      <c r="Z1060" s="89"/>
      <c r="AA1060" s="89"/>
      <c r="AB1060" s="89"/>
      <c r="AC1060" s="89"/>
      <c r="AD1060" s="89"/>
    </row>
    <row r="1061" spans="18:30" x14ac:dyDescent="0.3">
      <c r="R1061" s="89"/>
      <c r="S1061" s="89"/>
      <c r="T1061" s="89"/>
      <c r="U1061" s="89"/>
      <c r="V1061" s="89"/>
      <c r="W1061" s="89"/>
      <c r="X1061" s="89"/>
      <c r="Y1061" s="89"/>
      <c r="Z1061" s="89"/>
      <c r="AA1061" s="89"/>
      <c r="AB1061" s="89"/>
      <c r="AC1061" s="89"/>
      <c r="AD1061" s="89"/>
    </row>
    <row r="1062" spans="18:30" x14ac:dyDescent="0.3">
      <c r="R1062" s="89"/>
      <c r="S1062" s="89"/>
      <c r="T1062" s="89"/>
      <c r="U1062" s="89"/>
      <c r="V1062" s="89"/>
      <c r="W1062" s="89"/>
      <c r="X1062" s="89"/>
      <c r="Y1062" s="89"/>
      <c r="Z1062" s="89"/>
      <c r="AA1062" s="89"/>
      <c r="AB1062" s="89"/>
      <c r="AC1062" s="89"/>
      <c r="AD1062" s="89"/>
    </row>
    <row r="1063" spans="18:30" x14ac:dyDescent="0.3">
      <c r="R1063" s="89"/>
      <c r="S1063" s="89"/>
      <c r="T1063" s="89"/>
      <c r="U1063" s="89"/>
      <c r="V1063" s="89"/>
      <c r="W1063" s="89"/>
      <c r="X1063" s="89"/>
      <c r="Y1063" s="89"/>
      <c r="Z1063" s="89"/>
      <c r="AA1063" s="89"/>
      <c r="AB1063" s="89"/>
      <c r="AC1063" s="89"/>
      <c r="AD1063" s="89"/>
    </row>
    <row r="1064" spans="18:30" x14ac:dyDescent="0.3">
      <c r="R1064" s="89"/>
      <c r="S1064" s="89"/>
      <c r="T1064" s="89"/>
      <c r="U1064" s="89"/>
      <c r="V1064" s="89"/>
      <c r="W1064" s="89"/>
      <c r="X1064" s="89"/>
      <c r="Y1064" s="89"/>
      <c r="Z1064" s="89"/>
      <c r="AA1064" s="89"/>
      <c r="AB1064" s="89"/>
      <c r="AC1064" s="89"/>
      <c r="AD1064" s="89"/>
    </row>
    <row r="1065" spans="18:30" x14ac:dyDescent="0.3">
      <c r="R1065" s="89"/>
      <c r="S1065" s="89"/>
      <c r="T1065" s="89"/>
      <c r="U1065" s="89"/>
      <c r="V1065" s="89"/>
      <c r="W1065" s="89"/>
      <c r="X1065" s="89"/>
      <c r="Y1065" s="89"/>
      <c r="Z1065" s="89"/>
      <c r="AA1065" s="89"/>
      <c r="AB1065" s="89"/>
      <c r="AC1065" s="89"/>
      <c r="AD1065" s="89"/>
    </row>
    <row r="1066" spans="18:30" x14ac:dyDescent="0.3">
      <c r="R1066" s="89"/>
      <c r="S1066" s="89"/>
      <c r="T1066" s="89"/>
      <c r="U1066" s="89"/>
      <c r="V1066" s="89"/>
      <c r="W1066" s="89"/>
      <c r="X1066" s="89"/>
      <c r="Y1066" s="89"/>
      <c r="Z1066" s="89"/>
      <c r="AA1066" s="89"/>
      <c r="AB1066" s="89"/>
      <c r="AC1066" s="89"/>
      <c r="AD1066" s="89"/>
    </row>
    <row r="1067" spans="18:30" x14ac:dyDescent="0.3">
      <c r="R1067" s="89"/>
      <c r="S1067" s="89"/>
      <c r="T1067" s="89"/>
      <c r="U1067" s="89"/>
      <c r="V1067" s="89"/>
      <c r="W1067" s="89"/>
      <c r="X1067" s="89"/>
      <c r="Y1067" s="89"/>
      <c r="Z1067" s="89"/>
      <c r="AA1067" s="89"/>
      <c r="AB1067" s="89"/>
      <c r="AC1067" s="89"/>
      <c r="AD1067" s="89"/>
    </row>
    <row r="1068" spans="18:30" x14ac:dyDescent="0.3">
      <c r="R1068" s="89"/>
      <c r="S1068" s="89"/>
      <c r="T1068" s="89"/>
      <c r="U1068" s="89"/>
      <c r="V1068" s="89"/>
      <c r="W1068" s="89"/>
      <c r="X1068" s="89"/>
      <c r="Y1068" s="89"/>
      <c r="Z1068" s="89"/>
      <c r="AA1068" s="89"/>
      <c r="AB1068" s="89"/>
      <c r="AC1068" s="89"/>
      <c r="AD1068" s="89"/>
    </row>
    <row r="1069" spans="18:30" x14ac:dyDescent="0.3">
      <c r="R1069" s="89"/>
      <c r="S1069" s="89"/>
      <c r="T1069" s="89"/>
      <c r="U1069" s="89"/>
      <c r="V1069" s="89"/>
      <c r="W1069" s="89"/>
      <c r="X1069" s="89"/>
      <c r="Y1069" s="89"/>
      <c r="Z1069" s="89"/>
      <c r="AA1069" s="89"/>
      <c r="AB1069" s="89"/>
      <c r="AC1069" s="89"/>
      <c r="AD1069" s="89"/>
    </row>
    <row r="1070" spans="18:30" x14ac:dyDescent="0.3">
      <c r="R1070" s="89"/>
      <c r="S1070" s="89"/>
      <c r="T1070" s="89"/>
      <c r="U1070" s="89"/>
      <c r="V1070" s="89"/>
      <c r="W1070" s="89"/>
      <c r="X1070" s="89"/>
      <c r="Y1070" s="89"/>
      <c r="Z1070" s="89"/>
      <c r="AA1070" s="89"/>
      <c r="AB1070" s="89"/>
      <c r="AC1070" s="89"/>
      <c r="AD1070" s="89"/>
    </row>
    <row r="1071" spans="18:30" x14ac:dyDescent="0.3">
      <c r="R1071" s="89"/>
      <c r="S1071" s="89"/>
      <c r="T1071" s="89"/>
      <c r="U1071" s="89"/>
      <c r="V1071" s="89"/>
      <c r="W1071" s="89"/>
      <c r="X1071" s="89"/>
      <c r="Y1071" s="89"/>
      <c r="Z1071" s="89"/>
      <c r="AA1071" s="89"/>
      <c r="AB1071" s="89"/>
      <c r="AC1071" s="89"/>
      <c r="AD1071" s="89"/>
    </row>
    <row r="1072" spans="18:30" x14ac:dyDescent="0.3">
      <c r="R1072" s="89"/>
      <c r="S1072" s="89"/>
      <c r="T1072" s="89"/>
      <c r="U1072" s="89"/>
      <c r="V1072" s="89"/>
      <c r="W1072" s="89"/>
      <c r="X1072" s="89"/>
      <c r="Y1072" s="89"/>
      <c r="Z1072" s="89"/>
      <c r="AA1072" s="89"/>
      <c r="AB1072" s="89"/>
      <c r="AC1072" s="89"/>
      <c r="AD1072" s="89"/>
    </row>
    <row r="1073" spans="18:30" x14ac:dyDescent="0.3">
      <c r="R1073" s="89"/>
      <c r="S1073" s="89"/>
      <c r="T1073" s="89"/>
      <c r="U1073" s="89"/>
      <c r="V1073" s="89"/>
      <c r="W1073" s="89"/>
      <c r="X1073" s="89"/>
      <c r="Y1073" s="89"/>
      <c r="Z1073" s="89"/>
      <c r="AA1073" s="89"/>
      <c r="AB1073" s="89"/>
      <c r="AC1073" s="89"/>
      <c r="AD1073" s="89"/>
    </row>
    <row r="1074" spans="18:30" x14ac:dyDescent="0.3">
      <c r="R1074" s="89"/>
      <c r="S1074" s="89"/>
      <c r="T1074" s="89"/>
      <c r="U1074" s="89"/>
      <c r="V1074" s="89"/>
      <c r="W1074" s="89"/>
      <c r="X1074" s="89"/>
      <c r="Y1074" s="89"/>
      <c r="Z1074" s="89"/>
      <c r="AA1074" s="89"/>
      <c r="AB1074" s="89"/>
      <c r="AC1074" s="89"/>
      <c r="AD1074" s="89"/>
    </row>
    <row r="1075" spans="18:30" x14ac:dyDescent="0.3">
      <c r="R1075" s="89"/>
      <c r="S1075" s="89"/>
      <c r="T1075" s="89"/>
      <c r="U1075" s="89"/>
      <c r="V1075" s="89"/>
      <c r="W1075" s="89"/>
      <c r="X1075" s="89"/>
      <c r="Y1075" s="89"/>
      <c r="Z1075" s="89"/>
      <c r="AA1075" s="89"/>
      <c r="AB1075" s="89"/>
      <c r="AC1075" s="89"/>
      <c r="AD1075" s="89"/>
    </row>
    <row r="1076" spans="18:30" x14ac:dyDescent="0.3">
      <c r="R1076" s="89"/>
      <c r="S1076" s="89"/>
      <c r="T1076" s="89"/>
      <c r="U1076" s="89"/>
      <c r="V1076" s="89"/>
      <c r="W1076" s="89"/>
      <c r="X1076" s="89"/>
      <c r="Y1076" s="89"/>
      <c r="Z1076" s="89"/>
      <c r="AA1076" s="89"/>
      <c r="AB1076" s="89"/>
      <c r="AC1076" s="89"/>
      <c r="AD1076" s="89"/>
    </row>
    <row r="1077" spans="18:30" x14ac:dyDescent="0.3">
      <c r="R1077" s="89"/>
      <c r="S1077" s="89"/>
      <c r="T1077" s="89"/>
      <c r="U1077" s="89"/>
      <c r="V1077" s="89"/>
      <c r="W1077" s="89"/>
      <c r="X1077" s="89"/>
      <c r="Y1077" s="89"/>
      <c r="Z1077" s="89"/>
      <c r="AA1077" s="89"/>
      <c r="AB1077" s="89"/>
      <c r="AC1077" s="89"/>
      <c r="AD1077" s="89"/>
    </row>
    <row r="1078" spans="18:30" x14ac:dyDescent="0.3">
      <c r="R1078" s="89"/>
      <c r="S1078" s="89"/>
      <c r="T1078" s="89"/>
      <c r="U1078" s="89"/>
      <c r="V1078" s="89"/>
      <c r="W1078" s="89"/>
      <c r="X1078" s="89"/>
      <c r="Y1078" s="89"/>
      <c r="Z1078" s="89"/>
      <c r="AA1078" s="89"/>
      <c r="AB1078" s="89"/>
      <c r="AC1078" s="89"/>
      <c r="AD1078" s="89"/>
    </row>
    <row r="1079" spans="18:30" x14ac:dyDescent="0.3">
      <c r="R1079" s="89"/>
      <c r="S1079" s="89"/>
      <c r="T1079" s="89"/>
      <c r="U1079" s="89"/>
      <c r="V1079" s="89"/>
      <c r="W1079" s="89"/>
      <c r="X1079" s="89"/>
      <c r="Y1079" s="89"/>
      <c r="Z1079" s="89"/>
      <c r="AA1079" s="89"/>
      <c r="AB1079" s="89"/>
      <c r="AC1079" s="89"/>
      <c r="AD1079" s="89"/>
    </row>
    <row r="1080" spans="18:30" x14ac:dyDescent="0.3">
      <c r="R1080" s="89"/>
      <c r="S1080" s="89"/>
      <c r="T1080" s="89"/>
      <c r="U1080" s="89"/>
      <c r="V1080" s="89"/>
      <c r="W1080" s="89"/>
      <c r="X1080" s="89"/>
      <c r="Y1080" s="89"/>
      <c r="Z1080" s="89"/>
      <c r="AA1080" s="89"/>
      <c r="AB1080" s="89"/>
      <c r="AC1080" s="89"/>
      <c r="AD1080" s="89"/>
    </row>
    <row r="1081" spans="18:30" x14ac:dyDescent="0.3">
      <c r="R1081" s="89"/>
      <c r="S1081" s="89"/>
      <c r="T1081" s="89"/>
      <c r="U1081" s="89"/>
      <c r="V1081" s="89"/>
      <c r="W1081" s="89"/>
      <c r="X1081" s="89"/>
      <c r="Y1081" s="89"/>
      <c r="Z1081" s="89"/>
      <c r="AA1081" s="89"/>
      <c r="AB1081" s="89"/>
      <c r="AC1081" s="89"/>
      <c r="AD1081" s="89"/>
    </row>
    <row r="1082" spans="18:30" x14ac:dyDescent="0.3">
      <c r="R1082" s="89"/>
      <c r="S1082" s="89"/>
      <c r="T1082" s="89"/>
      <c r="U1082" s="89"/>
      <c r="V1082" s="89"/>
      <c r="W1082" s="89"/>
      <c r="X1082" s="89"/>
      <c r="Y1082" s="89"/>
      <c r="Z1082" s="89"/>
      <c r="AA1082" s="89"/>
      <c r="AB1082" s="89"/>
      <c r="AC1082" s="89"/>
      <c r="AD1082" s="89"/>
    </row>
    <row r="1083" spans="18:30" x14ac:dyDescent="0.3">
      <c r="R1083" s="89"/>
      <c r="S1083" s="89"/>
      <c r="T1083" s="89"/>
      <c r="U1083" s="89"/>
      <c r="V1083" s="89"/>
      <c r="W1083" s="89"/>
      <c r="X1083" s="89"/>
      <c r="Y1083" s="89"/>
      <c r="Z1083" s="89"/>
      <c r="AA1083" s="89"/>
      <c r="AB1083" s="89"/>
      <c r="AC1083" s="89"/>
      <c r="AD1083" s="89"/>
    </row>
    <row r="1084" spans="18:30" x14ac:dyDescent="0.3">
      <c r="R1084" s="89"/>
      <c r="S1084" s="89"/>
      <c r="T1084" s="89"/>
      <c r="U1084" s="89"/>
      <c r="V1084" s="89"/>
      <c r="W1084" s="89"/>
      <c r="X1084" s="89"/>
      <c r="Y1084" s="89"/>
      <c r="Z1084" s="89"/>
      <c r="AA1084" s="89"/>
      <c r="AB1084" s="89"/>
      <c r="AC1084" s="89"/>
      <c r="AD1084" s="89"/>
    </row>
    <row r="1085" spans="18:30" x14ac:dyDescent="0.3">
      <c r="R1085" s="89"/>
      <c r="S1085" s="89"/>
      <c r="T1085" s="89"/>
      <c r="U1085" s="89"/>
      <c r="V1085" s="89"/>
      <c r="W1085" s="89"/>
      <c r="X1085" s="89"/>
      <c r="Y1085" s="89"/>
      <c r="Z1085" s="89"/>
      <c r="AA1085" s="89"/>
      <c r="AB1085" s="89"/>
      <c r="AC1085" s="89"/>
      <c r="AD1085" s="89"/>
    </row>
    <row r="1086" spans="18:30" x14ac:dyDescent="0.3">
      <c r="R1086" s="89"/>
      <c r="S1086" s="89"/>
      <c r="T1086" s="89"/>
      <c r="U1086" s="89"/>
      <c r="V1086" s="89"/>
      <c r="W1086" s="89"/>
      <c r="X1086" s="89"/>
      <c r="Y1086" s="89"/>
      <c r="Z1086" s="89"/>
      <c r="AA1086" s="89"/>
      <c r="AB1086" s="89"/>
      <c r="AC1086" s="89"/>
      <c r="AD1086" s="89"/>
    </row>
    <row r="1087" spans="18:30" x14ac:dyDescent="0.3">
      <c r="R1087" s="89"/>
      <c r="S1087" s="89"/>
      <c r="T1087" s="89"/>
      <c r="U1087" s="89"/>
      <c r="V1087" s="89"/>
      <c r="W1087" s="89"/>
      <c r="X1087" s="89"/>
      <c r="Y1087" s="89"/>
      <c r="Z1087" s="89"/>
      <c r="AA1087" s="89"/>
      <c r="AB1087" s="89"/>
      <c r="AC1087" s="89"/>
      <c r="AD1087" s="89"/>
    </row>
    <row r="1088" spans="18:30" x14ac:dyDescent="0.3">
      <c r="R1088" s="89"/>
      <c r="S1088" s="89"/>
      <c r="T1088" s="89"/>
      <c r="U1088" s="89"/>
      <c r="V1088" s="89"/>
      <c r="W1088" s="89"/>
      <c r="X1088" s="89"/>
      <c r="Y1088" s="89"/>
      <c r="Z1088" s="89"/>
      <c r="AA1088" s="89"/>
      <c r="AB1088" s="89"/>
      <c r="AC1088" s="89"/>
      <c r="AD1088" s="89"/>
    </row>
    <row r="1089" spans="18:30" x14ac:dyDescent="0.3">
      <c r="R1089" s="89"/>
      <c r="S1089" s="89"/>
      <c r="T1089" s="89"/>
      <c r="U1089" s="89"/>
      <c r="V1089" s="89"/>
      <c r="W1089" s="89"/>
      <c r="X1089" s="89"/>
      <c r="Y1089" s="89"/>
      <c r="Z1089" s="89"/>
      <c r="AA1089" s="89"/>
      <c r="AB1089" s="89"/>
      <c r="AC1089" s="89"/>
      <c r="AD1089" s="89"/>
    </row>
    <row r="1090" spans="18:30" x14ac:dyDescent="0.3">
      <c r="R1090" s="89"/>
      <c r="S1090" s="89"/>
      <c r="T1090" s="89"/>
      <c r="U1090" s="89"/>
      <c r="V1090" s="89"/>
      <c r="W1090" s="89"/>
      <c r="X1090" s="89"/>
      <c r="Y1090" s="89"/>
      <c r="Z1090" s="89"/>
      <c r="AA1090" s="89"/>
      <c r="AB1090" s="89"/>
      <c r="AC1090" s="89"/>
      <c r="AD1090" s="89"/>
    </row>
    <row r="1091" spans="18:30" x14ac:dyDescent="0.3">
      <c r="R1091" s="89"/>
      <c r="S1091" s="89"/>
      <c r="T1091" s="89"/>
      <c r="U1091" s="89"/>
      <c r="V1091" s="89"/>
      <c r="W1091" s="89"/>
      <c r="X1091" s="89"/>
      <c r="Y1091" s="89"/>
      <c r="Z1091" s="89"/>
      <c r="AA1091" s="89"/>
      <c r="AB1091" s="89"/>
      <c r="AC1091" s="89"/>
      <c r="AD1091" s="89"/>
    </row>
    <row r="1092" spans="18:30" x14ac:dyDescent="0.3">
      <c r="R1092" s="89"/>
      <c r="S1092" s="89"/>
      <c r="T1092" s="89"/>
      <c r="U1092" s="89"/>
      <c r="V1092" s="89"/>
      <c r="W1092" s="89"/>
      <c r="X1092" s="89"/>
      <c r="Y1092" s="89"/>
      <c r="Z1092" s="89"/>
      <c r="AA1092" s="89"/>
      <c r="AB1092" s="89"/>
      <c r="AC1092" s="89"/>
      <c r="AD1092" s="89"/>
    </row>
    <row r="1093" spans="18:30" x14ac:dyDescent="0.3">
      <c r="R1093" s="89"/>
      <c r="S1093" s="89"/>
      <c r="T1093" s="89"/>
      <c r="U1093" s="89"/>
      <c r="V1093" s="89"/>
      <c r="W1093" s="89"/>
      <c r="X1093" s="89"/>
      <c r="Y1093" s="89"/>
      <c r="Z1093" s="89"/>
      <c r="AA1093" s="89"/>
      <c r="AB1093" s="89"/>
      <c r="AC1093" s="89"/>
      <c r="AD1093" s="89"/>
    </row>
    <row r="1094" spans="18:30" x14ac:dyDescent="0.3">
      <c r="R1094" s="89"/>
      <c r="S1094" s="89"/>
      <c r="T1094" s="89"/>
      <c r="U1094" s="89"/>
      <c r="V1094" s="89"/>
      <c r="W1094" s="89"/>
      <c r="X1094" s="89"/>
      <c r="Y1094" s="89"/>
      <c r="Z1094" s="89"/>
      <c r="AA1094" s="89"/>
      <c r="AB1094" s="89"/>
      <c r="AC1094" s="89"/>
      <c r="AD1094" s="89"/>
    </row>
    <row r="1095" spans="18:30" x14ac:dyDescent="0.3">
      <c r="R1095" s="89"/>
      <c r="S1095" s="89"/>
      <c r="T1095" s="89"/>
      <c r="U1095" s="89"/>
      <c r="V1095" s="89"/>
      <c r="W1095" s="89"/>
      <c r="X1095" s="89"/>
      <c r="Y1095" s="89"/>
      <c r="Z1095" s="89"/>
      <c r="AA1095" s="89"/>
      <c r="AB1095" s="89"/>
      <c r="AC1095" s="89"/>
      <c r="AD1095" s="89"/>
    </row>
    <row r="1096" spans="18:30" x14ac:dyDescent="0.3">
      <c r="R1096" s="89"/>
      <c r="S1096" s="89"/>
      <c r="T1096" s="89"/>
      <c r="U1096" s="89"/>
      <c r="V1096" s="89"/>
      <c r="W1096" s="89"/>
      <c r="X1096" s="89"/>
      <c r="Y1096" s="89"/>
      <c r="Z1096" s="89"/>
      <c r="AA1096" s="89"/>
      <c r="AB1096" s="89"/>
      <c r="AC1096" s="89"/>
      <c r="AD1096" s="89"/>
    </row>
    <row r="1097" spans="18:30" x14ac:dyDescent="0.3">
      <c r="R1097" s="89"/>
      <c r="S1097" s="89"/>
      <c r="T1097" s="89"/>
      <c r="U1097" s="89"/>
      <c r="V1097" s="89"/>
      <c r="W1097" s="89"/>
      <c r="X1097" s="89"/>
      <c r="Y1097" s="89"/>
      <c r="Z1097" s="89"/>
      <c r="AA1097" s="89"/>
      <c r="AB1097" s="89"/>
      <c r="AC1097" s="89"/>
      <c r="AD1097" s="89"/>
    </row>
    <row r="1098" spans="18:30" x14ac:dyDescent="0.3">
      <c r="R1098" s="89"/>
      <c r="S1098" s="89"/>
      <c r="T1098" s="89"/>
      <c r="U1098" s="89"/>
      <c r="V1098" s="89"/>
      <c r="W1098" s="89"/>
      <c r="X1098" s="89"/>
      <c r="Y1098" s="89"/>
      <c r="Z1098" s="89"/>
      <c r="AA1098" s="89"/>
      <c r="AB1098" s="89"/>
      <c r="AC1098" s="89"/>
      <c r="AD1098" s="89"/>
    </row>
    <row r="1099" spans="18:30" x14ac:dyDescent="0.3">
      <c r="R1099" s="89"/>
      <c r="S1099" s="89"/>
      <c r="T1099" s="89"/>
      <c r="U1099" s="89"/>
      <c r="V1099" s="89"/>
      <c r="W1099" s="89"/>
      <c r="X1099" s="89"/>
      <c r="Y1099" s="89"/>
      <c r="Z1099" s="89"/>
      <c r="AA1099" s="89"/>
      <c r="AB1099" s="89"/>
      <c r="AC1099" s="89"/>
      <c r="AD1099" s="89"/>
    </row>
    <row r="1100" spans="18:30" x14ac:dyDescent="0.3">
      <c r="R1100" s="89"/>
      <c r="S1100" s="89"/>
      <c r="T1100" s="89"/>
      <c r="U1100" s="89"/>
      <c r="V1100" s="89"/>
      <c r="W1100" s="89"/>
      <c r="X1100" s="89"/>
      <c r="Y1100" s="89"/>
      <c r="Z1100" s="89"/>
      <c r="AA1100" s="89"/>
      <c r="AB1100" s="89"/>
      <c r="AC1100" s="89"/>
      <c r="AD1100" s="89"/>
    </row>
    <row r="1101" spans="18:30" x14ac:dyDescent="0.3">
      <c r="R1101" s="89"/>
      <c r="S1101" s="89"/>
      <c r="T1101" s="89"/>
      <c r="U1101" s="89"/>
      <c r="V1101" s="89"/>
      <c r="W1101" s="89"/>
      <c r="X1101" s="89"/>
      <c r="Y1101" s="89"/>
      <c r="Z1101" s="89"/>
      <c r="AA1101" s="89"/>
      <c r="AB1101" s="89"/>
      <c r="AC1101" s="89"/>
      <c r="AD1101" s="89"/>
    </row>
    <row r="1102" spans="18:30" x14ac:dyDescent="0.3">
      <c r="R1102" s="89"/>
      <c r="S1102" s="89"/>
      <c r="T1102" s="89"/>
      <c r="U1102" s="89"/>
      <c r="V1102" s="89"/>
      <c r="W1102" s="89"/>
      <c r="X1102" s="89"/>
      <c r="Y1102" s="89"/>
      <c r="Z1102" s="89"/>
      <c r="AA1102" s="89"/>
      <c r="AB1102" s="89"/>
      <c r="AC1102" s="89"/>
      <c r="AD1102" s="89"/>
    </row>
    <row r="1103" spans="18:30" x14ac:dyDescent="0.3">
      <c r="R1103" s="89"/>
      <c r="S1103" s="89"/>
      <c r="T1103" s="89"/>
      <c r="U1103" s="89"/>
      <c r="V1103" s="89"/>
      <c r="W1103" s="89"/>
      <c r="X1103" s="89"/>
      <c r="Y1103" s="89"/>
      <c r="Z1103" s="89"/>
      <c r="AA1103" s="89"/>
      <c r="AB1103" s="89"/>
      <c r="AC1103" s="89"/>
      <c r="AD1103" s="89"/>
    </row>
    <row r="1104" spans="18:30" x14ac:dyDescent="0.3">
      <c r="R1104" s="89"/>
      <c r="S1104" s="89"/>
      <c r="T1104" s="89"/>
      <c r="U1104" s="89"/>
      <c r="V1104" s="89"/>
      <c r="W1104" s="89"/>
      <c r="X1104" s="89"/>
      <c r="Y1104" s="89"/>
      <c r="Z1104" s="89"/>
      <c r="AA1104" s="89"/>
      <c r="AB1104" s="89"/>
      <c r="AC1104" s="89"/>
      <c r="AD1104" s="89"/>
    </row>
    <row r="1105" spans="18:30" x14ac:dyDescent="0.3">
      <c r="R1105" s="89"/>
      <c r="S1105" s="89"/>
      <c r="T1105" s="89"/>
      <c r="U1105" s="89"/>
      <c r="V1105" s="89"/>
      <c r="W1105" s="89"/>
      <c r="X1105" s="89"/>
      <c r="Y1105" s="89"/>
      <c r="Z1105" s="89"/>
      <c r="AA1105" s="89"/>
      <c r="AB1105" s="89"/>
      <c r="AC1105" s="89"/>
      <c r="AD1105" s="89"/>
    </row>
    <row r="1106" spans="18:30" x14ac:dyDescent="0.3">
      <c r="R1106" s="89"/>
      <c r="S1106" s="89"/>
      <c r="T1106" s="89"/>
      <c r="U1106" s="89"/>
      <c r="V1106" s="89"/>
      <c r="W1106" s="89"/>
      <c r="X1106" s="89"/>
      <c r="Y1106" s="89"/>
      <c r="Z1106" s="89"/>
      <c r="AA1106" s="89"/>
      <c r="AB1106" s="89"/>
      <c r="AC1106" s="89"/>
      <c r="AD1106" s="89"/>
    </row>
    <row r="1107" spans="18:30" x14ac:dyDescent="0.3">
      <c r="R1107" s="89"/>
      <c r="S1107" s="89"/>
      <c r="T1107" s="89"/>
      <c r="U1107" s="89"/>
      <c r="V1107" s="89"/>
      <c r="W1107" s="89"/>
      <c r="X1107" s="89"/>
      <c r="Y1107" s="89"/>
      <c r="Z1107" s="89"/>
      <c r="AA1107" s="89"/>
      <c r="AB1107" s="89"/>
      <c r="AC1107" s="89"/>
      <c r="AD1107" s="89"/>
    </row>
    <row r="1108" spans="18:30" x14ac:dyDescent="0.3">
      <c r="R1108" s="89"/>
      <c r="S1108" s="89"/>
      <c r="T1108" s="89"/>
      <c r="U1108" s="89"/>
      <c r="V1108" s="89"/>
      <c r="W1108" s="89"/>
      <c r="X1108" s="89"/>
      <c r="Y1108" s="89"/>
      <c r="Z1108" s="89"/>
      <c r="AA1108" s="89"/>
      <c r="AB1108" s="89"/>
      <c r="AC1108" s="89"/>
      <c r="AD1108" s="89"/>
    </row>
    <row r="1109" spans="18:30" x14ac:dyDescent="0.3">
      <c r="R1109" s="89"/>
      <c r="S1109" s="89"/>
      <c r="T1109" s="89"/>
      <c r="U1109" s="89"/>
      <c r="V1109" s="89"/>
      <c r="W1109" s="89"/>
      <c r="X1109" s="89"/>
      <c r="Y1109" s="89"/>
      <c r="Z1109" s="89"/>
      <c r="AA1109" s="89"/>
      <c r="AB1109" s="89"/>
      <c r="AC1109" s="89"/>
      <c r="AD1109" s="89"/>
    </row>
    <row r="1110" spans="18:30" x14ac:dyDescent="0.3">
      <c r="R1110" s="89"/>
      <c r="S1110" s="89"/>
      <c r="T1110" s="89"/>
      <c r="U1110" s="89"/>
      <c r="V1110" s="89"/>
      <c r="W1110" s="89"/>
      <c r="X1110" s="89"/>
      <c r="Y1110" s="89"/>
      <c r="Z1110" s="89"/>
      <c r="AA1110" s="89"/>
      <c r="AB1110" s="89"/>
      <c r="AC1110" s="89"/>
      <c r="AD1110" s="89"/>
    </row>
    <row r="1111" spans="18:30" x14ac:dyDescent="0.3">
      <c r="R1111" s="89"/>
      <c r="S1111" s="89"/>
      <c r="T1111" s="89"/>
      <c r="U1111" s="89"/>
      <c r="V1111" s="89"/>
      <c r="W1111" s="89"/>
      <c r="X1111" s="89"/>
      <c r="Y1111" s="89"/>
      <c r="Z1111" s="89"/>
      <c r="AA1111" s="89"/>
      <c r="AB1111" s="89"/>
      <c r="AC1111" s="89"/>
      <c r="AD1111" s="89"/>
    </row>
    <row r="1112" spans="18:30" x14ac:dyDescent="0.3">
      <c r="R1112" s="89"/>
      <c r="S1112" s="89"/>
      <c r="T1112" s="89"/>
      <c r="U1112" s="89"/>
      <c r="V1112" s="89"/>
      <c r="W1112" s="89"/>
      <c r="X1112" s="89"/>
      <c r="Y1112" s="89"/>
      <c r="Z1112" s="89"/>
      <c r="AA1112" s="89"/>
      <c r="AB1112" s="89"/>
      <c r="AC1112" s="89"/>
      <c r="AD1112" s="89"/>
    </row>
    <row r="1113" spans="18:30" x14ac:dyDescent="0.3">
      <c r="R1113" s="89"/>
      <c r="S1113" s="89"/>
      <c r="T1113" s="89"/>
      <c r="U1113" s="89"/>
      <c r="V1113" s="89"/>
      <c r="W1113" s="89"/>
      <c r="X1113" s="89"/>
      <c r="Y1113" s="89"/>
      <c r="Z1113" s="89"/>
      <c r="AA1113" s="89"/>
      <c r="AB1113" s="89"/>
      <c r="AC1113" s="89"/>
      <c r="AD1113" s="89"/>
    </row>
    <row r="1114" spans="18:30" x14ac:dyDescent="0.3">
      <c r="R1114" s="89"/>
      <c r="S1114" s="89"/>
      <c r="T1114" s="89"/>
      <c r="U1114" s="89"/>
      <c r="V1114" s="89"/>
      <c r="W1114" s="89"/>
      <c r="X1114" s="89"/>
      <c r="Y1114" s="89"/>
      <c r="Z1114" s="89"/>
      <c r="AA1114" s="89"/>
      <c r="AB1114" s="89"/>
      <c r="AC1114" s="89"/>
      <c r="AD1114" s="89"/>
    </row>
    <row r="1115" spans="18:30" x14ac:dyDescent="0.3">
      <c r="R1115" s="89"/>
      <c r="S1115" s="89"/>
      <c r="T1115" s="89"/>
      <c r="U1115" s="89"/>
      <c r="V1115" s="89"/>
      <c r="W1115" s="89"/>
      <c r="X1115" s="89"/>
      <c r="Y1115" s="89"/>
      <c r="Z1115" s="89"/>
      <c r="AA1115" s="89"/>
      <c r="AB1115" s="89"/>
      <c r="AC1115" s="89"/>
      <c r="AD1115" s="89"/>
    </row>
    <row r="1116" spans="18:30" x14ac:dyDescent="0.3">
      <c r="R1116" s="89"/>
      <c r="S1116" s="89"/>
      <c r="T1116" s="89"/>
      <c r="U1116" s="89"/>
      <c r="V1116" s="89"/>
      <c r="W1116" s="89"/>
      <c r="X1116" s="89"/>
      <c r="Y1116" s="89"/>
      <c r="Z1116" s="89"/>
      <c r="AA1116" s="89"/>
      <c r="AB1116" s="89"/>
      <c r="AC1116" s="89"/>
      <c r="AD1116" s="89"/>
    </row>
    <row r="1117" spans="18:30" x14ac:dyDescent="0.3">
      <c r="R1117" s="89"/>
      <c r="S1117" s="89"/>
      <c r="T1117" s="89"/>
      <c r="U1117" s="89"/>
      <c r="V1117" s="89"/>
      <c r="W1117" s="89"/>
      <c r="X1117" s="89"/>
      <c r="Y1117" s="89"/>
      <c r="Z1117" s="89"/>
      <c r="AA1117" s="89"/>
      <c r="AB1117" s="89"/>
      <c r="AC1117" s="89"/>
      <c r="AD1117" s="89"/>
    </row>
    <row r="1118" spans="18:30" x14ac:dyDescent="0.3">
      <c r="R1118" s="89"/>
      <c r="S1118" s="89"/>
      <c r="T1118" s="89"/>
      <c r="U1118" s="89"/>
      <c r="V1118" s="89"/>
      <c r="W1118" s="89"/>
      <c r="X1118" s="89"/>
      <c r="Y1118" s="89"/>
      <c r="Z1118" s="89"/>
      <c r="AA1118" s="89"/>
      <c r="AB1118" s="89"/>
      <c r="AC1118" s="89"/>
      <c r="AD1118" s="89"/>
    </row>
    <row r="1119" spans="18:30" x14ac:dyDescent="0.3">
      <c r="R1119" s="89"/>
      <c r="S1119" s="89"/>
      <c r="T1119" s="89"/>
      <c r="U1119" s="89"/>
      <c r="V1119" s="89"/>
      <c r="W1119" s="89"/>
      <c r="X1119" s="89"/>
      <c r="Y1119" s="89"/>
      <c r="Z1119" s="89"/>
      <c r="AA1119" s="89"/>
      <c r="AB1119" s="89"/>
      <c r="AC1119" s="89"/>
      <c r="AD1119" s="89"/>
    </row>
    <row r="1120" spans="18:30" x14ac:dyDescent="0.3">
      <c r="R1120" s="89"/>
      <c r="S1120" s="89"/>
      <c r="T1120" s="89"/>
      <c r="U1120" s="89"/>
      <c r="V1120" s="89"/>
      <c r="W1120" s="89"/>
      <c r="X1120" s="89"/>
      <c r="Y1120" s="89"/>
      <c r="Z1120" s="89"/>
      <c r="AA1120" s="89"/>
      <c r="AB1120" s="89"/>
      <c r="AC1120" s="89"/>
      <c r="AD1120" s="89"/>
    </row>
    <row r="1121" spans="18:30" x14ac:dyDescent="0.3">
      <c r="R1121" s="89"/>
      <c r="S1121" s="89"/>
      <c r="T1121" s="89"/>
      <c r="U1121" s="89"/>
      <c r="V1121" s="89"/>
      <c r="W1121" s="89"/>
      <c r="X1121" s="89"/>
      <c r="Y1121" s="89"/>
      <c r="Z1121" s="89"/>
      <c r="AA1121" s="89"/>
      <c r="AB1121" s="89"/>
      <c r="AC1121" s="89"/>
      <c r="AD1121" s="89"/>
    </row>
    <row r="1122" spans="18:30" x14ac:dyDescent="0.3">
      <c r="R1122" s="89"/>
      <c r="S1122" s="89"/>
      <c r="T1122" s="89"/>
      <c r="U1122" s="89"/>
      <c r="V1122" s="89"/>
      <c r="W1122" s="89"/>
      <c r="X1122" s="89"/>
      <c r="Y1122" s="89"/>
      <c r="Z1122" s="89"/>
      <c r="AA1122" s="89"/>
      <c r="AB1122" s="89"/>
      <c r="AC1122" s="89"/>
      <c r="AD1122" s="89"/>
    </row>
    <row r="1123" spans="18:30" x14ac:dyDescent="0.3">
      <c r="R1123" s="89"/>
      <c r="S1123" s="89"/>
      <c r="T1123" s="89"/>
      <c r="U1123" s="89"/>
      <c r="V1123" s="89"/>
      <c r="W1123" s="89"/>
      <c r="X1123" s="89"/>
      <c r="Y1123" s="89"/>
      <c r="Z1123" s="89"/>
      <c r="AA1123" s="89"/>
      <c r="AB1123" s="89"/>
      <c r="AC1123" s="89"/>
      <c r="AD1123" s="89"/>
    </row>
    <row r="1124" spans="18:30" x14ac:dyDescent="0.3">
      <c r="R1124" s="89"/>
      <c r="S1124" s="89"/>
      <c r="T1124" s="89"/>
      <c r="U1124" s="89"/>
      <c r="V1124" s="89"/>
      <c r="W1124" s="89"/>
      <c r="X1124" s="89"/>
      <c r="Y1124" s="89"/>
      <c r="Z1124" s="89"/>
      <c r="AA1124" s="89"/>
      <c r="AB1124" s="89"/>
      <c r="AC1124" s="89"/>
      <c r="AD1124" s="89"/>
    </row>
    <row r="1125" spans="18:30" x14ac:dyDescent="0.3">
      <c r="R1125" s="89"/>
      <c r="S1125" s="89"/>
      <c r="T1125" s="89"/>
      <c r="U1125" s="89"/>
      <c r="V1125" s="89"/>
      <c r="W1125" s="89"/>
      <c r="X1125" s="89"/>
      <c r="Y1125" s="89"/>
      <c r="Z1125" s="89"/>
      <c r="AA1125" s="89"/>
      <c r="AB1125" s="89"/>
      <c r="AC1125" s="89"/>
      <c r="AD1125" s="89"/>
    </row>
    <row r="1126" spans="18:30" x14ac:dyDescent="0.3">
      <c r="R1126" s="89"/>
      <c r="S1126" s="89"/>
      <c r="T1126" s="89"/>
      <c r="U1126" s="89"/>
      <c r="V1126" s="89"/>
      <c r="W1126" s="89"/>
      <c r="X1126" s="89"/>
      <c r="Y1126" s="89"/>
      <c r="Z1126" s="89"/>
      <c r="AA1126" s="89"/>
      <c r="AB1126" s="89"/>
      <c r="AC1126" s="89"/>
      <c r="AD1126" s="89"/>
    </row>
    <row r="1127" spans="18:30" x14ac:dyDescent="0.3">
      <c r="R1127" s="89"/>
      <c r="S1127" s="89"/>
      <c r="T1127" s="89"/>
      <c r="U1127" s="89"/>
      <c r="V1127" s="89"/>
      <c r="W1127" s="89"/>
      <c r="X1127" s="89"/>
      <c r="Y1127" s="89"/>
      <c r="Z1127" s="89"/>
      <c r="AA1127" s="89"/>
      <c r="AB1127" s="89"/>
      <c r="AC1127" s="89"/>
      <c r="AD1127" s="89"/>
    </row>
    <row r="1128" spans="18:30" x14ac:dyDescent="0.3">
      <c r="R1128" s="89"/>
      <c r="S1128" s="89"/>
      <c r="T1128" s="89"/>
      <c r="U1128" s="89"/>
      <c r="V1128" s="89"/>
      <c r="W1128" s="89"/>
      <c r="X1128" s="89"/>
      <c r="Y1128" s="89"/>
      <c r="Z1128" s="89"/>
      <c r="AA1128" s="89"/>
      <c r="AB1128" s="89"/>
      <c r="AC1128" s="89"/>
      <c r="AD1128" s="89"/>
    </row>
    <row r="1129" spans="18:30" x14ac:dyDescent="0.3">
      <c r="R1129" s="89"/>
      <c r="S1129" s="89"/>
      <c r="T1129" s="89"/>
      <c r="U1129" s="89"/>
      <c r="V1129" s="89"/>
      <c r="W1129" s="89"/>
      <c r="X1129" s="89"/>
      <c r="Y1129" s="89"/>
      <c r="Z1129" s="89"/>
      <c r="AA1129" s="89"/>
      <c r="AB1129" s="89"/>
      <c r="AC1129" s="89"/>
      <c r="AD1129" s="89"/>
    </row>
    <row r="1130" spans="18:30" x14ac:dyDescent="0.3">
      <c r="R1130" s="89"/>
      <c r="S1130" s="89"/>
      <c r="T1130" s="89"/>
      <c r="U1130" s="89"/>
      <c r="V1130" s="89"/>
      <c r="W1130" s="89"/>
      <c r="X1130" s="89"/>
      <c r="Y1130" s="89"/>
      <c r="Z1130" s="89"/>
      <c r="AA1130" s="89"/>
      <c r="AB1130" s="89"/>
      <c r="AC1130" s="89"/>
      <c r="AD1130" s="89"/>
    </row>
    <row r="1131" spans="18:30" x14ac:dyDescent="0.3">
      <c r="R1131" s="89"/>
      <c r="S1131" s="89"/>
      <c r="T1131" s="89"/>
      <c r="U1131" s="89"/>
      <c r="V1131" s="89"/>
      <c r="W1131" s="89"/>
      <c r="X1131" s="89"/>
      <c r="Y1131" s="89"/>
      <c r="Z1131" s="89"/>
      <c r="AA1131" s="89"/>
      <c r="AB1131" s="89"/>
      <c r="AC1131" s="89"/>
      <c r="AD1131" s="89"/>
    </row>
    <row r="1132" spans="18:30" x14ac:dyDescent="0.3">
      <c r="R1132" s="89"/>
      <c r="S1132" s="89"/>
      <c r="T1132" s="89"/>
      <c r="U1132" s="89"/>
      <c r="V1132" s="89"/>
      <c r="W1132" s="89"/>
      <c r="X1132" s="89"/>
      <c r="Y1132" s="89"/>
      <c r="Z1132" s="89"/>
      <c r="AA1132" s="89"/>
      <c r="AB1132" s="89"/>
      <c r="AC1132" s="89"/>
      <c r="AD1132" s="89"/>
    </row>
    <row r="1133" spans="18:30" x14ac:dyDescent="0.3">
      <c r="R1133" s="89"/>
      <c r="S1133" s="89"/>
      <c r="T1133" s="89"/>
      <c r="U1133" s="89"/>
      <c r="V1133" s="89"/>
      <c r="W1133" s="89"/>
      <c r="X1133" s="89"/>
      <c r="Y1133" s="89"/>
      <c r="Z1133" s="89"/>
      <c r="AA1133" s="89"/>
      <c r="AB1133" s="89"/>
      <c r="AC1133" s="89"/>
      <c r="AD1133" s="89"/>
    </row>
    <row r="1134" spans="18:30" x14ac:dyDescent="0.3">
      <c r="R1134" s="89"/>
      <c r="S1134" s="89"/>
      <c r="T1134" s="89"/>
      <c r="U1134" s="89"/>
      <c r="V1134" s="89"/>
      <c r="W1134" s="89"/>
      <c r="X1134" s="89"/>
      <c r="Y1134" s="89"/>
      <c r="Z1134" s="89"/>
      <c r="AA1134" s="89"/>
      <c r="AB1134" s="89"/>
      <c r="AC1134" s="89"/>
      <c r="AD1134" s="89"/>
    </row>
    <row r="1135" spans="18:30" x14ac:dyDescent="0.3">
      <c r="R1135" s="89"/>
      <c r="S1135" s="89"/>
      <c r="T1135" s="89"/>
      <c r="U1135" s="89"/>
      <c r="V1135" s="89"/>
      <c r="W1135" s="89"/>
      <c r="X1135" s="89"/>
      <c r="Y1135" s="89"/>
      <c r="Z1135" s="89"/>
      <c r="AA1135" s="89"/>
      <c r="AB1135" s="89"/>
      <c r="AC1135" s="89"/>
      <c r="AD1135" s="89"/>
    </row>
    <row r="1136" spans="18:30" x14ac:dyDescent="0.3">
      <c r="R1136" s="89"/>
      <c r="S1136" s="89"/>
      <c r="T1136" s="89"/>
      <c r="U1136" s="89"/>
      <c r="V1136" s="89"/>
      <c r="W1136" s="89"/>
      <c r="X1136" s="89"/>
      <c r="Y1136" s="89"/>
      <c r="Z1136" s="89"/>
      <c r="AA1136" s="89"/>
      <c r="AB1136" s="89"/>
      <c r="AC1136" s="89"/>
      <c r="AD1136" s="89"/>
    </row>
    <row r="1137" spans="18:30" x14ac:dyDescent="0.3">
      <c r="R1137" s="89"/>
      <c r="S1137" s="89"/>
      <c r="T1137" s="89"/>
      <c r="U1137" s="89"/>
      <c r="V1137" s="89"/>
      <c r="W1137" s="89"/>
      <c r="X1137" s="89"/>
      <c r="Y1137" s="89"/>
      <c r="Z1137" s="89"/>
      <c r="AA1137" s="89"/>
      <c r="AB1137" s="89"/>
      <c r="AC1137" s="89"/>
      <c r="AD1137" s="89"/>
    </row>
    <row r="1138" spans="18:30" x14ac:dyDescent="0.3">
      <c r="R1138" s="89"/>
      <c r="S1138" s="89"/>
      <c r="T1138" s="89"/>
      <c r="U1138" s="89"/>
      <c r="V1138" s="89"/>
      <c r="W1138" s="89"/>
      <c r="X1138" s="89"/>
      <c r="Y1138" s="89"/>
      <c r="Z1138" s="89"/>
      <c r="AA1138" s="89"/>
      <c r="AB1138" s="89"/>
      <c r="AC1138" s="89"/>
      <c r="AD1138" s="89"/>
    </row>
    <row r="1139" spans="18:30" x14ac:dyDescent="0.3">
      <c r="R1139" s="89"/>
      <c r="S1139" s="89"/>
      <c r="T1139" s="89"/>
      <c r="U1139" s="89"/>
      <c r="V1139" s="89"/>
      <c r="W1139" s="89"/>
      <c r="X1139" s="89"/>
      <c r="Y1139" s="89"/>
      <c r="Z1139" s="89"/>
      <c r="AA1139" s="89"/>
      <c r="AB1139" s="89"/>
      <c r="AC1139" s="89"/>
      <c r="AD1139" s="89"/>
    </row>
    <row r="1140" spans="18:30" x14ac:dyDescent="0.3">
      <c r="R1140" s="89"/>
      <c r="S1140" s="89"/>
      <c r="T1140" s="89"/>
      <c r="U1140" s="89"/>
      <c r="V1140" s="89"/>
      <c r="W1140" s="89"/>
      <c r="X1140" s="89"/>
      <c r="Y1140" s="89"/>
      <c r="Z1140" s="89"/>
      <c r="AA1140" s="89"/>
      <c r="AB1140" s="89"/>
      <c r="AC1140" s="89"/>
      <c r="AD1140" s="89"/>
    </row>
    <row r="1141" spans="18:30" x14ac:dyDescent="0.3">
      <c r="R1141" s="89"/>
      <c r="S1141" s="89"/>
      <c r="T1141" s="89"/>
      <c r="U1141" s="89"/>
      <c r="V1141" s="89"/>
      <c r="W1141" s="89"/>
      <c r="X1141" s="89"/>
      <c r="Y1141" s="89"/>
      <c r="Z1141" s="89"/>
      <c r="AA1141" s="89"/>
      <c r="AB1141" s="89"/>
      <c r="AC1141" s="89"/>
      <c r="AD1141" s="89"/>
    </row>
    <row r="1142" spans="18:30" x14ac:dyDescent="0.3">
      <c r="R1142" s="89"/>
      <c r="S1142" s="89"/>
      <c r="T1142" s="89"/>
      <c r="U1142" s="89"/>
      <c r="V1142" s="89"/>
      <c r="W1142" s="89"/>
      <c r="X1142" s="89"/>
      <c r="Y1142" s="89"/>
      <c r="Z1142" s="89"/>
      <c r="AA1142" s="89"/>
      <c r="AB1142" s="89"/>
      <c r="AC1142" s="89"/>
      <c r="AD1142" s="89"/>
    </row>
    <row r="1143" spans="18:30" x14ac:dyDescent="0.3">
      <c r="R1143" s="89"/>
      <c r="S1143" s="89"/>
      <c r="T1143" s="89"/>
      <c r="U1143" s="89"/>
      <c r="V1143" s="89"/>
      <c r="W1143" s="89"/>
      <c r="X1143" s="89"/>
      <c r="Y1143" s="89"/>
      <c r="Z1143" s="89"/>
      <c r="AA1143" s="89"/>
      <c r="AB1143" s="89"/>
      <c r="AC1143" s="89"/>
      <c r="AD1143" s="89"/>
    </row>
    <row r="1144" spans="18:30" x14ac:dyDescent="0.3">
      <c r="R1144" s="89"/>
      <c r="S1144" s="89"/>
      <c r="T1144" s="89"/>
      <c r="U1144" s="89"/>
      <c r="V1144" s="89"/>
      <c r="W1144" s="89"/>
      <c r="X1144" s="89"/>
      <c r="Y1144" s="89"/>
      <c r="Z1144" s="89"/>
      <c r="AA1144" s="89"/>
      <c r="AB1144" s="89"/>
      <c r="AC1144" s="89"/>
      <c r="AD1144" s="89"/>
    </row>
    <row r="1145" spans="18:30" x14ac:dyDescent="0.3">
      <c r="R1145" s="89"/>
      <c r="S1145" s="89"/>
      <c r="T1145" s="89"/>
      <c r="U1145" s="89"/>
      <c r="V1145" s="89"/>
      <c r="W1145" s="89"/>
      <c r="X1145" s="89"/>
      <c r="Y1145" s="89"/>
      <c r="Z1145" s="89"/>
      <c r="AA1145" s="89"/>
      <c r="AB1145" s="89"/>
      <c r="AC1145" s="89"/>
      <c r="AD1145" s="89"/>
    </row>
    <row r="1146" spans="18:30" x14ac:dyDescent="0.3">
      <c r="R1146" s="89"/>
      <c r="S1146" s="89"/>
      <c r="T1146" s="89"/>
      <c r="U1146" s="89"/>
      <c r="V1146" s="89"/>
      <c r="W1146" s="89"/>
      <c r="X1146" s="89"/>
      <c r="Y1146" s="89"/>
      <c r="Z1146" s="89"/>
      <c r="AA1146" s="89"/>
      <c r="AB1146" s="89"/>
      <c r="AC1146" s="89"/>
      <c r="AD1146" s="89"/>
    </row>
    <row r="1147" spans="18:30" x14ac:dyDescent="0.3">
      <c r="R1147" s="89"/>
      <c r="S1147" s="89"/>
      <c r="T1147" s="89"/>
      <c r="U1147" s="89"/>
      <c r="V1147" s="89"/>
      <c r="W1147" s="89"/>
      <c r="X1147" s="89"/>
      <c r="Y1147" s="89"/>
      <c r="Z1147" s="89"/>
      <c r="AA1147" s="89"/>
      <c r="AB1147" s="89"/>
      <c r="AC1147" s="89"/>
      <c r="AD1147" s="89"/>
    </row>
    <row r="1148" spans="18:30" x14ac:dyDescent="0.3">
      <c r="R1148" s="89"/>
      <c r="S1148" s="89"/>
      <c r="T1148" s="89"/>
      <c r="U1148" s="89"/>
      <c r="V1148" s="89"/>
      <c r="W1148" s="89"/>
      <c r="X1148" s="89"/>
      <c r="Y1148" s="89"/>
      <c r="Z1148" s="89"/>
      <c r="AA1148" s="89"/>
      <c r="AB1148" s="89"/>
      <c r="AC1148" s="89"/>
      <c r="AD1148" s="89"/>
    </row>
    <row r="1149" spans="18:30" x14ac:dyDescent="0.3">
      <c r="R1149" s="89"/>
      <c r="S1149" s="89"/>
      <c r="T1149" s="89"/>
      <c r="U1149" s="89"/>
      <c r="V1149" s="89"/>
      <c r="W1149" s="89"/>
      <c r="X1149" s="89"/>
      <c r="Y1149" s="89"/>
      <c r="Z1149" s="89"/>
      <c r="AA1149" s="89"/>
      <c r="AB1149" s="89"/>
      <c r="AC1149" s="89"/>
      <c r="AD1149" s="89"/>
    </row>
    <row r="1150" spans="18:30" x14ac:dyDescent="0.3">
      <c r="R1150" s="89"/>
      <c r="S1150" s="89"/>
      <c r="T1150" s="89"/>
      <c r="U1150" s="89"/>
      <c r="V1150" s="89"/>
      <c r="W1150" s="89"/>
      <c r="X1150" s="89"/>
      <c r="Y1150" s="89"/>
      <c r="Z1150" s="89"/>
      <c r="AA1150" s="89"/>
      <c r="AB1150" s="89"/>
      <c r="AC1150" s="89"/>
      <c r="AD1150" s="89"/>
    </row>
    <row r="1151" spans="18:30" x14ac:dyDescent="0.3">
      <c r="R1151" s="89"/>
      <c r="S1151" s="89"/>
      <c r="T1151" s="89"/>
      <c r="U1151" s="89"/>
      <c r="V1151" s="89"/>
      <c r="W1151" s="89"/>
      <c r="X1151" s="89"/>
      <c r="Y1151" s="89"/>
      <c r="Z1151" s="89"/>
      <c r="AA1151" s="89"/>
      <c r="AB1151" s="89"/>
      <c r="AC1151" s="89"/>
      <c r="AD1151" s="89"/>
    </row>
    <row r="1152" spans="18:30" x14ac:dyDescent="0.3">
      <c r="R1152" s="89"/>
      <c r="S1152" s="89"/>
      <c r="T1152" s="89"/>
      <c r="U1152" s="89"/>
      <c r="V1152" s="89"/>
      <c r="W1152" s="89"/>
      <c r="X1152" s="89"/>
      <c r="Y1152" s="89"/>
      <c r="Z1152" s="89"/>
      <c r="AA1152" s="89"/>
      <c r="AB1152" s="89"/>
      <c r="AC1152" s="89"/>
      <c r="AD1152" s="89"/>
    </row>
    <row r="1153" spans="18:30" x14ac:dyDescent="0.3">
      <c r="R1153" s="89"/>
      <c r="S1153" s="89"/>
      <c r="T1153" s="89"/>
      <c r="U1153" s="89"/>
      <c r="V1153" s="89"/>
      <c r="W1153" s="89"/>
      <c r="X1153" s="89"/>
      <c r="Y1153" s="89"/>
      <c r="Z1153" s="89"/>
      <c r="AA1153" s="89"/>
      <c r="AB1153" s="89"/>
      <c r="AC1153" s="89"/>
      <c r="AD1153" s="89"/>
    </row>
    <row r="1154" spans="18:30" x14ac:dyDescent="0.3">
      <c r="R1154" s="89"/>
      <c r="S1154" s="89"/>
      <c r="T1154" s="89"/>
      <c r="U1154" s="89"/>
      <c r="V1154" s="89"/>
      <c r="W1154" s="89"/>
      <c r="X1154" s="89"/>
      <c r="Y1154" s="89"/>
      <c r="Z1154" s="89"/>
      <c r="AA1154" s="89"/>
      <c r="AB1154" s="89"/>
      <c r="AC1154" s="89"/>
      <c r="AD1154" s="89"/>
    </row>
    <row r="1155" spans="18:30" x14ac:dyDescent="0.3">
      <c r="R1155" s="89"/>
      <c r="S1155" s="89"/>
      <c r="T1155" s="89"/>
      <c r="U1155" s="89"/>
      <c r="V1155" s="89"/>
      <c r="W1155" s="89"/>
      <c r="X1155" s="89"/>
      <c r="Y1155" s="89"/>
      <c r="Z1155" s="89"/>
      <c r="AA1155" s="89"/>
      <c r="AB1155" s="89"/>
      <c r="AC1155" s="89"/>
      <c r="AD1155" s="89"/>
    </row>
    <row r="1156" spans="18:30" x14ac:dyDescent="0.3">
      <c r="R1156" s="89"/>
      <c r="S1156" s="89"/>
      <c r="T1156" s="89"/>
      <c r="U1156" s="89"/>
      <c r="V1156" s="89"/>
      <c r="W1156" s="89"/>
      <c r="X1156" s="89"/>
      <c r="Y1156" s="89"/>
      <c r="Z1156" s="89"/>
      <c r="AA1156" s="89"/>
      <c r="AB1156" s="89"/>
      <c r="AC1156" s="89"/>
      <c r="AD1156" s="89"/>
    </row>
    <row r="1157" spans="18:30" x14ac:dyDescent="0.3">
      <c r="R1157" s="89"/>
      <c r="S1157" s="89"/>
      <c r="T1157" s="89"/>
      <c r="U1157" s="89"/>
      <c r="V1157" s="89"/>
      <c r="W1157" s="89"/>
      <c r="X1157" s="89"/>
      <c r="Y1157" s="89"/>
      <c r="Z1157" s="89"/>
      <c r="AA1157" s="89"/>
      <c r="AB1157" s="89"/>
      <c r="AC1157" s="89"/>
      <c r="AD1157" s="89"/>
    </row>
    <row r="1158" spans="18:30" x14ac:dyDescent="0.3">
      <c r="R1158" s="89"/>
      <c r="S1158" s="89"/>
      <c r="T1158" s="89"/>
      <c r="U1158" s="89"/>
      <c r="V1158" s="89"/>
      <c r="W1158" s="89"/>
      <c r="X1158" s="89"/>
      <c r="Y1158" s="89"/>
      <c r="Z1158" s="89"/>
      <c r="AA1158" s="89"/>
      <c r="AB1158" s="89"/>
      <c r="AC1158" s="89"/>
      <c r="AD1158" s="89"/>
    </row>
    <row r="1159" spans="18:30" x14ac:dyDescent="0.3">
      <c r="R1159" s="89"/>
      <c r="S1159" s="89"/>
      <c r="T1159" s="89"/>
      <c r="U1159" s="89"/>
      <c r="V1159" s="89"/>
      <c r="W1159" s="89"/>
      <c r="X1159" s="89"/>
      <c r="Y1159" s="89"/>
      <c r="Z1159" s="89"/>
      <c r="AA1159" s="89"/>
      <c r="AB1159" s="89"/>
      <c r="AC1159" s="89"/>
      <c r="AD1159" s="89"/>
    </row>
    <row r="1160" spans="18:30" x14ac:dyDescent="0.3">
      <c r="R1160" s="89"/>
      <c r="S1160" s="89"/>
      <c r="T1160" s="89"/>
      <c r="U1160" s="89"/>
      <c r="V1160" s="89"/>
      <c r="W1160" s="89"/>
      <c r="X1160" s="89"/>
      <c r="Y1160" s="89"/>
      <c r="Z1160" s="89"/>
      <c r="AA1160" s="89"/>
      <c r="AB1160" s="89"/>
      <c r="AC1160" s="89"/>
      <c r="AD1160" s="89"/>
    </row>
    <row r="1161" spans="18:30" x14ac:dyDescent="0.3">
      <c r="R1161" s="89"/>
      <c r="S1161" s="89"/>
      <c r="T1161" s="89"/>
      <c r="U1161" s="89"/>
      <c r="V1161" s="89"/>
      <c r="W1161" s="89"/>
      <c r="X1161" s="89"/>
      <c r="Y1161" s="89"/>
      <c r="Z1161" s="89"/>
      <c r="AA1161" s="89"/>
      <c r="AB1161" s="89"/>
      <c r="AC1161" s="89"/>
      <c r="AD1161" s="89"/>
    </row>
    <row r="1162" spans="18:30" x14ac:dyDescent="0.3">
      <c r="R1162" s="89"/>
      <c r="S1162" s="89"/>
      <c r="T1162" s="89"/>
      <c r="U1162" s="89"/>
      <c r="V1162" s="89"/>
      <c r="W1162" s="89"/>
      <c r="X1162" s="89"/>
      <c r="Y1162" s="89"/>
      <c r="Z1162" s="89"/>
      <c r="AA1162" s="89"/>
      <c r="AB1162" s="89"/>
      <c r="AC1162" s="89"/>
      <c r="AD1162" s="89"/>
    </row>
    <row r="1163" spans="18:30" x14ac:dyDescent="0.3">
      <c r="R1163" s="89"/>
      <c r="S1163" s="89"/>
      <c r="T1163" s="89"/>
      <c r="U1163" s="89"/>
      <c r="V1163" s="89"/>
      <c r="W1163" s="89"/>
      <c r="X1163" s="89"/>
      <c r="Y1163" s="89"/>
      <c r="Z1163" s="89"/>
      <c r="AA1163" s="89"/>
      <c r="AB1163" s="89"/>
      <c r="AC1163" s="89"/>
      <c r="AD1163" s="89"/>
    </row>
    <row r="1164" spans="18:30" x14ac:dyDescent="0.3">
      <c r="R1164" s="89"/>
      <c r="S1164" s="89"/>
      <c r="T1164" s="89"/>
      <c r="U1164" s="89"/>
      <c r="V1164" s="89"/>
      <c r="W1164" s="89"/>
      <c r="X1164" s="89"/>
      <c r="Y1164" s="89"/>
      <c r="Z1164" s="89"/>
      <c r="AA1164" s="89"/>
      <c r="AB1164" s="89"/>
      <c r="AC1164" s="89"/>
      <c r="AD1164" s="89"/>
    </row>
    <row r="1165" spans="18:30" x14ac:dyDescent="0.3">
      <c r="R1165" s="89"/>
      <c r="S1165" s="89"/>
      <c r="T1165" s="89"/>
      <c r="U1165" s="89"/>
      <c r="V1165" s="89"/>
      <c r="W1165" s="89"/>
      <c r="X1165" s="89"/>
      <c r="Y1165" s="89"/>
      <c r="Z1165" s="89"/>
      <c r="AA1165" s="89"/>
      <c r="AB1165" s="89"/>
      <c r="AC1165" s="89"/>
      <c r="AD1165" s="89"/>
    </row>
    <row r="1166" spans="18:30" x14ac:dyDescent="0.3">
      <c r="R1166" s="89"/>
      <c r="S1166" s="89"/>
      <c r="T1166" s="89"/>
      <c r="U1166" s="89"/>
      <c r="V1166" s="89"/>
      <c r="W1166" s="89"/>
      <c r="X1166" s="89"/>
      <c r="Y1166" s="89"/>
      <c r="Z1166" s="89"/>
      <c r="AA1166" s="89"/>
      <c r="AB1166" s="89"/>
      <c r="AC1166" s="89"/>
      <c r="AD1166" s="89"/>
    </row>
    <row r="1167" spans="18:30" x14ac:dyDescent="0.3">
      <c r="R1167" s="89"/>
      <c r="S1167" s="89"/>
      <c r="T1167" s="89"/>
      <c r="U1167" s="89"/>
      <c r="V1167" s="89"/>
      <c r="W1167" s="89"/>
      <c r="X1167" s="89"/>
      <c r="Y1167" s="89"/>
      <c r="Z1167" s="89"/>
      <c r="AA1167" s="89"/>
      <c r="AB1167" s="89"/>
      <c r="AC1167" s="89"/>
      <c r="AD1167" s="89"/>
    </row>
    <row r="1168" spans="18:30" x14ac:dyDescent="0.3">
      <c r="R1168" s="89"/>
      <c r="S1168" s="89"/>
      <c r="T1168" s="89"/>
      <c r="U1168" s="89"/>
      <c r="V1168" s="89"/>
      <c r="W1168" s="89"/>
      <c r="X1168" s="89"/>
      <c r="Y1168" s="89"/>
      <c r="Z1168" s="89"/>
      <c r="AA1168" s="89"/>
      <c r="AB1168" s="89"/>
      <c r="AC1168" s="89"/>
      <c r="AD1168" s="89"/>
    </row>
    <row r="1169" spans="18:30" x14ac:dyDescent="0.3">
      <c r="R1169" s="89"/>
      <c r="S1169" s="89"/>
      <c r="T1169" s="89"/>
      <c r="U1169" s="89"/>
      <c r="V1169" s="89"/>
      <c r="W1169" s="89"/>
      <c r="X1169" s="89"/>
      <c r="Y1169" s="89"/>
      <c r="Z1169" s="89"/>
      <c r="AA1169" s="89"/>
      <c r="AB1169" s="89"/>
      <c r="AC1169" s="89"/>
      <c r="AD1169" s="89"/>
    </row>
    <row r="1170" spans="18:30" x14ac:dyDescent="0.3">
      <c r="R1170" s="89"/>
      <c r="S1170" s="89"/>
      <c r="T1170" s="89"/>
      <c r="U1170" s="89"/>
      <c r="V1170" s="89"/>
      <c r="W1170" s="89"/>
      <c r="X1170" s="89"/>
      <c r="Y1170" s="89"/>
      <c r="Z1170" s="89"/>
      <c r="AA1170" s="89"/>
      <c r="AB1170" s="89"/>
      <c r="AC1170" s="89"/>
      <c r="AD1170" s="89"/>
    </row>
    <row r="1171" spans="18:30" x14ac:dyDescent="0.3">
      <c r="R1171" s="89"/>
      <c r="S1171" s="89"/>
      <c r="T1171" s="89"/>
      <c r="U1171" s="89"/>
      <c r="V1171" s="89"/>
      <c r="W1171" s="89"/>
      <c r="X1171" s="89"/>
      <c r="Y1171" s="89"/>
      <c r="Z1171" s="89"/>
      <c r="AA1171" s="89"/>
      <c r="AB1171" s="89"/>
      <c r="AC1171" s="89"/>
      <c r="AD1171" s="89"/>
    </row>
    <row r="1172" spans="18:30" x14ac:dyDescent="0.3">
      <c r="R1172" s="89"/>
      <c r="S1172" s="89"/>
      <c r="T1172" s="89"/>
      <c r="U1172" s="89"/>
      <c r="V1172" s="89"/>
      <c r="W1172" s="89"/>
      <c r="X1172" s="89"/>
      <c r="Y1172" s="89"/>
      <c r="Z1172" s="89"/>
      <c r="AA1172" s="89"/>
      <c r="AB1172" s="89"/>
      <c r="AC1172" s="89"/>
      <c r="AD1172" s="89"/>
    </row>
    <row r="1173" spans="18:30" x14ac:dyDescent="0.3">
      <c r="R1173" s="89"/>
      <c r="S1173" s="89"/>
      <c r="T1173" s="89"/>
      <c r="U1173" s="89"/>
      <c r="V1173" s="89"/>
      <c r="W1173" s="89"/>
      <c r="X1173" s="89"/>
      <c r="Y1173" s="89"/>
      <c r="Z1173" s="89"/>
      <c r="AA1173" s="89"/>
      <c r="AB1173" s="89"/>
      <c r="AC1173" s="89"/>
      <c r="AD1173" s="89"/>
    </row>
    <row r="1174" spans="18:30" x14ac:dyDescent="0.3">
      <c r="R1174" s="89"/>
      <c r="S1174" s="89"/>
      <c r="T1174" s="89"/>
      <c r="U1174" s="89"/>
      <c r="V1174" s="89"/>
      <c r="W1174" s="89"/>
      <c r="X1174" s="89"/>
      <c r="Y1174" s="89"/>
      <c r="Z1174" s="89"/>
      <c r="AA1174" s="89"/>
      <c r="AB1174" s="89"/>
      <c r="AC1174" s="89"/>
      <c r="AD1174" s="89"/>
    </row>
    <row r="1175" spans="18:30" x14ac:dyDescent="0.3">
      <c r="R1175" s="89"/>
      <c r="S1175" s="89"/>
      <c r="T1175" s="89"/>
      <c r="U1175" s="89"/>
      <c r="V1175" s="89"/>
      <c r="W1175" s="89"/>
      <c r="X1175" s="89"/>
      <c r="Y1175" s="89"/>
      <c r="Z1175" s="89"/>
      <c r="AA1175" s="89"/>
      <c r="AB1175" s="89"/>
      <c r="AC1175" s="89"/>
      <c r="AD1175" s="89"/>
    </row>
    <row r="1176" spans="18:30" x14ac:dyDescent="0.3">
      <c r="R1176" s="89"/>
      <c r="S1176" s="89"/>
      <c r="T1176" s="89"/>
      <c r="U1176" s="89"/>
      <c r="V1176" s="89"/>
      <c r="W1176" s="89"/>
      <c r="X1176" s="89"/>
      <c r="Y1176" s="89"/>
      <c r="Z1176" s="89"/>
      <c r="AA1176" s="89"/>
      <c r="AB1176" s="89"/>
      <c r="AC1176" s="89"/>
      <c r="AD1176" s="89"/>
    </row>
    <row r="1177" spans="18:30" x14ac:dyDescent="0.3">
      <c r="R1177" s="89"/>
      <c r="S1177" s="89"/>
      <c r="T1177" s="89"/>
      <c r="U1177" s="89"/>
      <c r="V1177" s="89"/>
      <c r="W1177" s="89"/>
      <c r="X1177" s="89"/>
      <c r="Y1177" s="89"/>
      <c r="Z1177" s="89"/>
      <c r="AA1177" s="89"/>
      <c r="AB1177" s="89"/>
      <c r="AC1177" s="89"/>
      <c r="AD1177" s="89"/>
    </row>
    <row r="1178" spans="18:30" x14ac:dyDescent="0.3">
      <c r="R1178" s="89"/>
      <c r="S1178" s="89"/>
      <c r="T1178" s="89"/>
      <c r="U1178" s="89"/>
      <c r="V1178" s="89"/>
      <c r="W1178" s="89"/>
      <c r="X1178" s="89"/>
      <c r="Y1178" s="89"/>
      <c r="Z1178" s="89"/>
      <c r="AA1178" s="89"/>
      <c r="AB1178" s="89"/>
      <c r="AC1178" s="89"/>
      <c r="AD1178" s="89"/>
    </row>
    <row r="1179" spans="18:30" x14ac:dyDescent="0.3">
      <c r="R1179" s="89"/>
      <c r="S1179" s="89"/>
      <c r="T1179" s="89"/>
      <c r="U1179" s="89"/>
      <c r="V1179" s="89"/>
      <c r="W1179" s="89"/>
      <c r="X1179" s="89"/>
      <c r="Y1179" s="89"/>
      <c r="Z1179" s="89"/>
      <c r="AA1179" s="89"/>
      <c r="AB1179" s="89"/>
      <c r="AC1179" s="89"/>
      <c r="AD1179" s="89"/>
    </row>
    <row r="1180" spans="18:30" x14ac:dyDescent="0.3">
      <c r="R1180" s="89"/>
      <c r="S1180" s="89"/>
      <c r="T1180" s="89"/>
      <c r="U1180" s="89"/>
      <c r="V1180" s="89"/>
      <c r="W1180" s="89"/>
      <c r="X1180" s="89"/>
      <c r="Y1180" s="89"/>
      <c r="Z1180" s="89"/>
      <c r="AA1180" s="89"/>
      <c r="AB1180" s="89"/>
      <c r="AC1180" s="89"/>
      <c r="AD1180" s="89"/>
    </row>
    <row r="1181" spans="18:30" x14ac:dyDescent="0.3">
      <c r="R1181" s="89"/>
      <c r="S1181" s="89"/>
      <c r="T1181" s="89"/>
      <c r="U1181" s="89"/>
      <c r="V1181" s="89"/>
      <c r="W1181" s="89"/>
      <c r="X1181" s="89"/>
      <c r="Y1181" s="89"/>
      <c r="Z1181" s="89"/>
      <c r="AA1181" s="89"/>
      <c r="AB1181" s="89"/>
      <c r="AC1181" s="89"/>
      <c r="AD1181" s="89"/>
    </row>
    <row r="1182" spans="18:30" x14ac:dyDescent="0.3">
      <c r="R1182" s="89"/>
      <c r="S1182" s="89"/>
      <c r="T1182" s="89"/>
      <c r="U1182" s="89"/>
      <c r="V1182" s="89"/>
      <c r="W1182" s="89"/>
      <c r="X1182" s="89"/>
      <c r="Y1182" s="89"/>
      <c r="Z1182" s="89"/>
      <c r="AA1182" s="89"/>
      <c r="AB1182" s="89"/>
      <c r="AC1182" s="89"/>
      <c r="AD1182" s="89"/>
    </row>
    <row r="1183" spans="18:30" x14ac:dyDescent="0.3">
      <c r="R1183" s="89"/>
      <c r="S1183" s="89"/>
      <c r="T1183" s="89"/>
      <c r="U1183" s="89"/>
      <c r="V1183" s="89"/>
      <c r="W1183" s="89"/>
      <c r="X1183" s="89"/>
      <c r="Y1183" s="89"/>
      <c r="Z1183" s="89"/>
      <c r="AA1183" s="89"/>
      <c r="AB1183" s="89"/>
      <c r="AC1183" s="89"/>
      <c r="AD1183" s="89"/>
    </row>
    <row r="1184" spans="18:30" x14ac:dyDescent="0.3">
      <c r="R1184" s="89"/>
      <c r="S1184" s="89"/>
      <c r="T1184" s="89"/>
      <c r="U1184" s="89"/>
      <c r="V1184" s="89"/>
      <c r="W1184" s="89"/>
      <c r="X1184" s="89"/>
      <c r="Y1184" s="89"/>
      <c r="Z1184" s="89"/>
      <c r="AA1184" s="89"/>
      <c r="AB1184" s="89"/>
      <c r="AC1184" s="89"/>
      <c r="AD1184" s="89"/>
    </row>
    <row r="1185" spans="18:30" x14ac:dyDescent="0.3">
      <c r="R1185" s="89"/>
      <c r="S1185" s="89"/>
      <c r="T1185" s="89"/>
      <c r="U1185" s="89"/>
      <c r="V1185" s="89"/>
      <c r="W1185" s="89"/>
      <c r="X1185" s="89"/>
      <c r="Y1185" s="89"/>
      <c r="Z1185" s="89"/>
      <c r="AA1185" s="89"/>
      <c r="AB1185" s="89"/>
      <c r="AC1185" s="89"/>
      <c r="AD1185" s="89"/>
    </row>
    <row r="1186" spans="18:30" x14ac:dyDescent="0.3">
      <c r="R1186" s="89"/>
      <c r="S1186" s="89"/>
      <c r="T1186" s="89"/>
      <c r="U1186" s="89"/>
      <c r="V1186" s="89"/>
      <c r="W1186" s="89"/>
      <c r="X1186" s="89"/>
      <c r="Y1186" s="89"/>
      <c r="Z1186" s="89"/>
      <c r="AA1186" s="89"/>
      <c r="AB1186" s="89"/>
      <c r="AC1186" s="89"/>
      <c r="AD1186" s="89"/>
    </row>
    <row r="1187" spans="18:30" x14ac:dyDescent="0.3">
      <c r="R1187" s="89"/>
      <c r="S1187" s="89"/>
      <c r="T1187" s="89"/>
      <c r="U1187" s="89"/>
      <c r="V1187" s="89"/>
      <c r="W1187" s="89"/>
      <c r="X1187" s="89"/>
      <c r="Y1187" s="89"/>
      <c r="Z1187" s="89"/>
      <c r="AA1187" s="89"/>
      <c r="AB1187" s="89"/>
      <c r="AC1187" s="89"/>
      <c r="AD1187" s="89"/>
    </row>
    <row r="1188" spans="18:30" x14ac:dyDescent="0.3">
      <c r="R1188" s="89"/>
      <c r="S1188" s="89"/>
      <c r="T1188" s="89"/>
      <c r="U1188" s="89"/>
      <c r="V1188" s="89"/>
      <c r="W1188" s="89"/>
      <c r="X1188" s="89"/>
      <c r="Y1188" s="89"/>
      <c r="Z1188" s="89"/>
      <c r="AA1188" s="89"/>
      <c r="AB1188" s="89"/>
      <c r="AC1188" s="89"/>
      <c r="AD1188" s="89"/>
    </row>
    <row r="1189" spans="18:30" x14ac:dyDescent="0.3">
      <c r="R1189" s="89"/>
      <c r="S1189" s="89"/>
      <c r="T1189" s="89"/>
      <c r="U1189" s="89"/>
      <c r="V1189" s="89"/>
      <c r="W1189" s="89"/>
      <c r="X1189" s="89"/>
      <c r="Y1189" s="89"/>
      <c r="Z1189" s="89"/>
      <c r="AA1189" s="89"/>
      <c r="AB1189" s="89"/>
      <c r="AC1189" s="89"/>
      <c r="AD1189" s="89"/>
    </row>
    <row r="1190" spans="18:30" x14ac:dyDescent="0.3">
      <c r="R1190" s="89"/>
      <c r="S1190" s="89"/>
      <c r="T1190" s="89"/>
      <c r="U1190" s="89"/>
      <c r="V1190" s="89"/>
      <c r="W1190" s="89"/>
      <c r="X1190" s="89"/>
      <c r="Y1190" s="89"/>
      <c r="Z1190" s="89"/>
      <c r="AA1190" s="89"/>
      <c r="AB1190" s="89"/>
      <c r="AC1190" s="89"/>
      <c r="AD1190" s="89"/>
    </row>
    <row r="1191" spans="18:30" x14ac:dyDescent="0.3">
      <c r="R1191" s="89"/>
      <c r="S1191" s="89"/>
      <c r="T1191" s="89"/>
      <c r="U1191" s="89"/>
      <c r="V1191" s="89"/>
      <c r="W1191" s="89"/>
      <c r="X1191" s="89"/>
      <c r="Y1191" s="89"/>
      <c r="Z1191" s="89"/>
      <c r="AA1191" s="89"/>
      <c r="AB1191" s="89"/>
      <c r="AC1191" s="89"/>
      <c r="AD1191" s="89"/>
    </row>
    <row r="1192" spans="18:30" x14ac:dyDescent="0.3">
      <c r="R1192" s="89"/>
      <c r="S1192" s="89"/>
      <c r="T1192" s="89"/>
      <c r="U1192" s="89"/>
      <c r="V1192" s="89"/>
      <c r="W1192" s="89"/>
      <c r="X1192" s="89"/>
      <c r="Y1192" s="89"/>
      <c r="Z1192" s="89"/>
      <c r="AA1192" s="89"/>
      <c r="AB1192" s="89"/>
      <c r="AC1192" s="89"/>
      <c r="AD1192" s="89"/>
    </row>
    <row r="1193" spans="18:30" x14ac:dyDescent="0.3">
      <c r="R1193" s="89"/>
      <c r="S1193" s="89"/>
      <c r="T1193" s="89"/>
      <c r="U1193" s="89"/>
      <c r="V1193" s="89"/>
      <c r="W1193" s="89"/>
      <c r="X1193" s="89"/>
      <c r="Y1193" s="89"/>
      <c r="Z1193" s="89"/>
      <c r="AA1193" s="89"/>
      <c r="AB1193" s="89"/>
      <c r="AC1193" s="89"/>
      <c r="AD1193" s="89"/>
    </row>
    <row r="1194" spans="18:30" x14ac:dyDescent="0.3">
      <c r="R1194" s="89"/>
      <c r="S1194" s="89"/>
      <c r="T1194" s="89"/>
      <c r="U1194" s="89"/>
      <c r="V1194" s="89"/>
      <c r="W1194" s="89"/>
      <c r="X1194" s="89"/>
      <c r="Y1194" s="89"/>
      <c r="Z1194" s="89"/>
      <c r="AA1194" s="89"/>
      <c r="AB1194" s="89"/>
      <c r="AC1194" s="89"/>
      <c r="AD1194" s="89"/>
    </row>
    <row r="1195" spans="18:30" x14ac:dyDescent="0.3">
      <c r="R1195" s="89"/>
      <c r="S1195" s="89"/>
      <c r="T1195" s="89"/>
      <c r="U1195" s="89"/>
      <c r="V1195" s="89"/>
      <c r="W1195" s="89"/>
      <c r="X1195" s="89"/>
      <c r="Y1195" s="89"/>
      <c r="Z1195" s="89"/>
      <c r="AA1195" s="89"/>
      <c r="AB1195" s="89"/>
      <c r="AC1195" s="89"/>
      <c r="AD1195" s="89"/>
    </row>
    <row r="1196" spans="18:30" x14ac:dyDescent="0.3">
      <c r="R1196" s="89"/>
      <c r="S1196" s="89"/>
      <c r="T1196" s="89"/>
      <c r="U1196" s="89"/>
      <c r="V1196" s="89"/>
      <c r="W1196" s="89"/>
      <c r="X1196" s="89"/>
      <c r="Y1196" s="89"/>
      <c r="Z1196" s="89"/>
      <c r="AA1196" s="89"/>
      <c r="AB1196" s="89"/>
      <c r="AC1196" s="89"/>
      <c r="AD1196" s="89"/>
    </row>
    <row r="1197" spans="18:30" x14ac:dyDescent="0.3">
      <c r="R1197" s="89"/>
      <c r="S1197" s="89"/>
      <c r="T1197" s="89"/>
      <c r="U1197" s="89"/>
      <c r="V1197" s="89"/>
      <c r="W1197" s="89"/>
      <c r="X1197" s="89"/>
      <c r="Y1197" s="89"/>
      <c r="Z1197" s="89"/>
      <c r="AA1197" s="89"/>
      <c r="AB1197" s="89"/>
      <c r="AC1197" s="89"/>
      <c r="AD1197" s="89"/>
    </row>
    <row r="1198" spans="18:30" x14ac:dyDescent="0.3">
      <c r="R1198" s="89"/>
      <c r="S1198" s="89"/>
      <c r="T1198" s="89"/>
      <c r="U1198" s="89"/>
      <c r="V1198" s="89"/>
      <c r="W1198" s="89"/>
      <c r="X1198" s="89"/>
      <c r="Y1198" s="89"/>
      <c r="Z1198" s="89"/>
      <c r="AA1198" s="89"/>
      <c r="AB1198" s="89"/>
      <c r="AC1198" s="89"/>
      <c r="AD1198" s="89"/>
    </row>
    <row r="1199" spans="18:30" x14ac:dyDescent="0.3">
      <c r="R1199" s="89"/>
      <c r="S1199" s="89"/>
      <c r="T1199" s="89"/>
      <c r="U1199" s="89"/>
      <c r="V1199" s="89"/>
      <c r="W1199" s="89"/>
      <c r="X1199" s="89"/>
      <c r="Y1199" s="89"/>
      <c r="Z1199" s="89"/>
      <c r="AA1199" s="89"/>
      <c r="AB1199" s="89"/>
      <c r="AC1199" s="89"/>
      <c r="AD1199" s="89"/>
    </row>
    <row r="1200" spans="18:30" x14ac:dyDescent="0.3">
      <c r="R1200" s="89"/>
      <c r="S1200" s="89"/>
      <c r="T1200" s="89"/>
      <c r="U1200" s="89"/>
      <c r="V1200" s="89"/>
      <c r="W1200" s="89"/>
      <c r="X1200" s="89"/>
      <c r="Y1200" s="89"/>
      <c r="Z1200" s="89"/>
      <c r="AA1200" s="89"/>
      <c r="AB1200" s="89"/>
      <c r="AC1200" s="89"/>
      <c r="AD1200" s="89"/>
    </row>
    <row r="1201" spans="18:30" x14ac:dyDescent="0.3">
      <c r="R1201" s="89"/>
      <c r="S1201" s="89"/>
      <c r="T1201" s="89"/>
      <c r="U1201" s="89"/>
      <c r="V1201" s="89"/>
      <c r="W1201" s="89"/>
      <c r="X1201" s="89"/>
      <c r="Y1201" s="89"/>
      <c r="Z1201" s="89"/>
      <c r="AA1201" s="89"/>
      <c r="AB1201" s="89"/>
      <c r="AC1201" s="89"/>
      <c r="AD1201" s="89"/>
    </row>
    <row r="1202" spans="18:30" x14ac:dyDescent="0.3">
      <c r="R1202" s="89"/>
      <c r="S1202" s="89"/>
      <c r="T1202" s="89"/>
      <c r="U1202" s="89"/>
      <c r="V1202" s="89"/>
      <c r="W1202" s="89"/>
      <c r="X1202" s="89"/>
      <c r="Y1202" s="89"/>
      <c r="Z1202" s="89"/>
      <c r="AA1202" s="89"/>
      <c r="AB1202" s="89"/>
      <c r="AC1202" s="89"/>
      <c r="AD1202" s="89"/>
    </row>
    <row r="1203" spans="18:30" x14ac:dyDescent="0.3">
      <c r="R1203" s="89"/>
      <c r="S1203" s="89"/>
      <c r="T1203" s="89"/>
      <c r="U1203" s="89"/>
      <c r="V1203" s="89"/>
      <c r="W1203" s="89"/>
      <c r="X1203" s="89"/>
      <c r="Y1203" s="89"/>
      <c r="Z1203" s="89"/>
      <c r="AA1203" s="89"/>
      <c r="AB1203" s="89"/>
      <c r="AC1203" s="89"/>
      <c r="AD1203" s="89"/>
    </row>
    <row r="1204" spans="18:30" x14ac:dyDescent="0.3">
      <c r="R1204" s="89"/>
      <c r="S1204" s="89"/>
      <c r="T1204" s="89"/>
      <c r="U1204" s="89"/>
      <c r="V1204" s="89"/>
      <c r="W1204" s="89"/>
      <c r="X1204" s="89"/>
      <c r="Y1204" s="89"/>
      <c r="Z1204" s="89"/>
      <c r="AA1204" s="89"/>
      <c r="AB1204" s="89"/>
      <c r="AC1204" s="89"/>
      <c r="AD1204" s="89"/>
    </row>
    <row r="1205" spans="18:30" x14ac:dyDescent="0.3">
      <c r="R1205" s="89"/>
      <c r="S1205" s="89"/>
      <c r="T1205" s="89"/>
      <c r="U1205" s="89"/>
      <c r="V1205" s="89"/>
      <c r="W1205" s="89"/>
      <c r="X1205" s="89"/>
      <c r="Y1205" s="89"/>
      <c r="Z1205" s="89"/>
      <c r="AA1205" s="89"/>
      <c r="AB1205" s="89"/>
      <c r="AC1205" s="89"/>
      <c r="AD1205" s="89"/>
    </row>
    <row r="1206" spans="18:30" x14ac:dyDescent="0.3">
      <c r="R1206" s="89"/>
      <c r="S1206" s="89"/>
      <c r="T1206" s="89"/>
      <c r="U1206" s="89"/>
      <c r="V1206" s="89"/>
      <c r="W1206" s="89"/>
      <c r="X1206" s="89"/>
      <c r="Y1206" s="89"/>
      <c r="Z1206" s="89"/>
      <c r="AA1206" s="89"/>
      <c r="AB1206" s="89"/>
      <c r="AC1206" s="89"/>
      <c r="AD1206" s="89"/>
    </row>
    <row r="1207" spans="18:30" x14ac:dyDescent="0.3">
      <c r="R1207" s="89"/>
      <c r="S1207" s="89"/>
      <c r="T1207" s="89"/>
      <c r="U1207" s="89"/>
      <c r="V1207" s="89"/>
      <c r="W1207" s="89"/>
      <c r="X1207" s="89"/>
      <c r="Y1207" s="89"/>
      <c r="Z1207" s="89"/>
      <c r="AA1207" s="89"/>
      <c r="AB1207" s="89"/>
      <c r="AC1207" s="89"/>
      <c r="AD1207" s="89"/>
    </row>
    <row r="1208" spans="18:30" x14ac:dyDescent="0.3">
      <c r="R1208" s="89"/>
      <c r="S1208" s="89"/>
      <c r="T1208" s="89"/>
      <c r="U1208" s="89"/>
      <c r="V1208" s="89"/>
      <c r="W1208" s="89"/>
      <c r="X1208" s="89"/>
      <c r="Y1208" s="89"/>
      <c r="Z1208" s="89"/>
      <c r="AA1208" s="89"/>
      <c r="AB1208" s="89"/>
      <c r="AC1208" s="89"/>
      <c r="AD1208" s="89"/>
    </row>
    <row r="1209" spans="18:30" x14ac:dyDescent="0.3">
      <c r="R1209" s="89"/>
      <c r="S1209" s="89"/>
      <c r="T1209" s="89"/>
      <c r="U1209" s="89"/>
      <c r="V1209" s="89"/>
      <c r="W1209" s="89"/>
      <c r="X1209" s="89"/>
      <c r="Y1209" s="89"/>
      <c r="Z1209" s="89"/>
      <c r="AA1209" s="89"/>
      <c r="AB1209" s="89"/>
      <c r="AC1209" s="89"/>
      <c r="AD1209" s="89"/>
    </row>
    <row r="1210" spans="18:30" x14ac:dyDescent="0.3">
      <c r="R1210" s="89"/>
      <c r="S1210" s="89"/>
      <c r="T1210" s="89"/>
      <c r="U1210" s="89"/>
      <c r="V1210" s="89"/>
      <c r="W1210" s="89"/>
      <c r="X1210" s="89"/>
      <c r="Y1210" s="89"/>
      <c r="Z1210" s="89"/>
      <c r="AA1210" s="89"/>
      <c r="AB1210" s="89"/>
      <c r="AC1210" s="89"/>
      <c r="AD1210" s="89"/>
    </row>
    <row r="1211" spans="18:30" x14ac:dyDescent="0.3">
      <c r="R1211" s="89"/>
      <c r="S1211" s="89"/>
      <c r="T1211" s="89"/>
      <c r="U1211" s="89"/>
      <c r="V1211" s="89"/>
      <c r="W1211" s="89"/>
      <c r="X1211" s="89"/>
      <c r="Y1211" s="89"/>
      <c r="Z1211" s="89"/>
      <c r="AA1211" s="89"/>
      <c r="AB1211" s="89"/>
      <c r="AC1211" s="89"/>
      <c r="AD1211" s="89"/>
    </row>
    <row r="1212" spans="18:30" x14ac:dyDescent="0.3">
      <c r="R1212" s="89"/>
      <c r="S1212" s="89"/>
      <c r="T1212" s="89"/>
      <c r="U1212" s="89"/>
      <c r="V1212" s="89"/>
      <c r="W1212" s="89"/>
      <c r="X1212" s="89"/>
      <c r="Y1212" s="89"/>
      <c r="Z1212" s="89"/>
      <c r="AA1212" s="89"/>
      <c r="AB1212" s="89"/>
      <c r="AC1212" s="89"/>
      <c r="AD1212" s="89"/>
    </row>
    <row r="1213" spans="18:30" x14ac:dyDescent="0.3">
      <c r="R1213" s="89"/>
      <c r="S1213" s="89"/>
      <c r="T1213" s="89"/>
      <c r="U1213" s="89"/>
      <c r="V1213" s="89"/>
      <c r="W1213" s="89"/>
      <c r="X1213" s="89"/>
      <c r="Y1213" s="89"/>
      <c r="Z1213" s="89"/>
      <c r="AA1213" s="89"/>
      <c r="AB1213" s="89"/>
      <c r="AC1213" s="89"/>
      <c r="AD1213" s="89"/>
    </row>
    <row r="1214" spans="18:30" x14ac:dyDescent="0.3">
      <c r="R1214" s="89"/>
      <c r="S1214" s="89"/>
      <c r="T1214" s="89"/>
      <c r="U1214" s="89"/>
      <c r="V1214" s="89"/>
      <c r="W1214" s="89"/>
      <c r="X1214" s="89"/>
      <c r="Y1214" s="89"/>
      <c r="Z1214" s="89"/>
      <c r="AA1214" s="89"/>
      <c r="AB1214" s="89"/>
      <c r="AC1214" s="89"/>
      <c r="AD1214" s="89"/>
    </row>
    <row r="1215" spans="18:30" x14ac:dyDescent="0.3">
      <c r="R1215" s="89"/>
      <c r="S1215" s="89"/>
      <c r="T1215" s="89"/>
      <c r="U1215" s="89"/>
      <c r="V1215" s="89"/>
      <c r="W1215" s="89"/>
      <c r="X1215" s="89"/>
      <c r="Y1215" s="89"/>
      <c r="Z1215" s="89"/>
      <c r="AA1215" s="89"/>
      <c r="AB1215" s="89"/>
      <c r="AC1215" s="89"/>
      <c r="AD1215" s="89"/>
    </row>
    <row r="1216" spans="18:30" x14ac:dyDescent="0.3">
      <c r="R1216" s="89"/>
      <c r="S1216" s="89"/>
      <c r="T1216" s="89"/>
      <c r="U1216" s="89"/>
      <c r="V1216" s="89"/>
      <c r="W1216" s="89"/>
      <c r="X1216" s="89"/>
      <c r="Y1216" s="89"/>
      <c r="Z1216" s="89"/>
      <c r="AA1216" s="89"/>
      <c r="AB1216" s="89"/>
      <c r="AC1216" s="89"/>
      <c r="AD1216" s="89"/>
    </row>
    <row r="1217" spans="18:30" x14ac:dyDescent="0.3">
      <c r="R1217" s="89"/>
      <c r="S1217" s="89"/>
      <c r="T1217" s="89"/>
      <c r="U1217" s="89"/>
      <c r="V1217" s="89"/>
      <c r="W1217" s="89"/>
      <c r="X1217" s="89"/>
      <c r="Y1217" s="89"/>
      <c r="Z1217" s="89"/>
      <c r="AA1217" s="89"/>
      <c r="AB1217" s="89"/>
      <c r="AC1217" s="89"/>
      <c r="AD1217" s="89"/>
    </row>
    <row r="1218" spans="18:30" x14ac:dyDescent="0.3">
      <c r="R1218" s="89"/>
      <c r="S1218" s="89"/>
      <c r="T1218" s="89"/>
      <c r="U1218" s="89"/>
      <c r="V1218" s="89"/>
      <c r="W1218" s="89"/>
      <c r="X1218" s="89"/>
      <c r="Y1218" s="89"/>
      <c r="Z1218" s="89"/>
      <c r="AA1218" s="89"/>
      <c r="AB1218" s="89"/>
      <c r="AC1218" s="89"/>
      <c r="AD1218" s="89"/>
    </row>
    <row r="1219" spans="18:30" x14ac:dyDescent="0.3">
      <c r="R1219" s="89"/>
      <c r="S1219" s="89"/>
      <c r="T1219" s="89"/>
      <c r="U1219" s="89"/>
      <c r="V1219" s="89"/>
      <c r="W1219" s="89"/>
      <c r="X1219" s="89"/>
      <c r="Y1219" s="89"/>
      <c r="Z1219" s="89"/>
      <c r="AA1219" s="89"/>
      <c r="AB1219" s="89"/>
      <c r="AC1219" s="89"/>
      <c r="AD1219" s="89"/>
    </row>
    <row r="1220" spans="18:30" x14ac:dyDescent="0.3">
      <c r="R1220" s="89"/>
      <c r="S1220" s="89"/>
      <c r="T1220" s="89"/>
      <c r="U1220" s="89"/>
      <c r="V1220" s="89"/>
      <c r="W1220" s="89"/>
      <c r="X1220" s="89"/>
      <c r="Y1220" s="89"/>
      <c r="Z1220" s="89"/>
      <c r="AA1220" s="89"/>
      <c r="AB1220" s="89"/>
      <c r="AC1220" s="89"/>
      <c r="AD1220" s="89"/>
    </row>
    <row r="1221" spans="18:30" x14ac:dyDescent="0.3">
      <c r="R1221" s="89"/>
      <c r="S1221" s="89"/>
      <c r="T1221" s="89"/>
      <c r="U1221" s="89"/>
      <c r="V1221" s="89"/>
      <c r="W1221" s="89"/>
      <c r="X1221" s="89"/>
      <c r="Y1221" s="89"/>
      <c r="Z1221" s="89"/>
      <c r="AA1221" s="89"/>
      <c r="AB1221" s="89"/>
      <c r="AC1221" s="89"/>
      <c r="AD1221" s="89"/>
    </row>
    <row r="1222" spans="18:30" x14ac:dyDescent="0.3">
      <c r="R1222" s="89"/>
      <c r="S1222" s="89"/>
      <c r="T1222" s="89"/>
      <c r="U1222" s="89"/>
      <c r="V1222" s="89"/>
      <c r="W1222" s="89"/>
      <c r="X1222" s="89"/>
      <c r="Y1222" s="89"/>
      <c r="Z1222" s="89"/>
      <c r="AA1222" s="89"/>
      <c r="AB1222" s="89"/>
      <c r="AC1222" s="89"/>
      <c r="AD1222" s="89"/>
    </row>
    <row r="1223" spans="18:30" x14ac:dyDescent="0.3">
      <c r="R1223" s="89"/>
      <c r="S1223" s="89"/>
      <c r="T1223" s="89"/>
      <c r="U1223" s="89"/>
      <c r="V1223" s="89"/>
      <c r="W1223" s="89"/>
      <c r="X1223" s="89"/>
      <c r="Y1223" s="89"/>
      <c r="Z1223" s="89"/>
      <c r="AA1223" s="89"/>
      <c r="AB1223" s="89"/>
      <c r="AC1223" s="89"/>
      <c r="AD1223" s="89"/>
    </row>
    <row r="1224" spans="18:30" x14ac:dyDescent="0.3">
      <c r="R1224" s="89"/>
      <c r="S1224" s="89"/>
      <c r="T1224" s="89"/>
      <c r="U1224" s="89"/>
      <c r="V1224" s="89"/>
      <c r="W1224" s="89"/>
      <c r="X1224" s="89"/>
      <c r="Y1224" s="89"/>
      <c r="Z1224" s="89"/>
      <c r="AA1224" s="89"/>
      <c r="AB1224" s="89"/>
      <c r="AC1224" s="89"/>
      <c r="AD1224" s="89"/>
    </row>
    <row r="1225" spans="18:30" x14ac:dyDescent="0.3">
      <c r="R1225" s="89"/>
      <c r="S1225" s="89"/>
      <c r="T1225" s="89"/>
      <c r="U1225" s="89"/>
      <c r="V1225" s="89"/>
      <c r="W1225" s="89"/>
      <c r="X1225" s="89"/>
      <c r="Y1225" s="89"/>
      <c r="Z1225" s="89"/>
      <c r="AA1225" s="89"/>
      <c r="AB1225" s="89"/>
      <c r="AC1225" s="89"/>
      <c r="AD1225" s="89"/>
    </row>
    <row r="1226" spans="18:30" x14ac:dyDescent="0.3">
      <c r="R1226" s="89"/>
      <c r="S1226" s="89"/>
      <c r="T1226" s="89"/>
      <c r="U1226" s="89"/>
      <c r="V1226" s="89"/>
      <c r="W1226" s="89"/>
      <c r="X1226" s="89"/>
      <c r="Y1226" s="89"/>
      <c r="Z1226" s="89"/>
      <c r="AA1226" s="89"/>
      <c r="AB1226" s="89"/>
      <c r="AC1226" s="89"/>
      <c r="AD1226" s="89"/>
    </row>
    <row r="1227" spans="18:30" x14ac:dyDescent="0.3">
      <c r="R1227" s="89"/>
      <c r="S1227" s="89"/>
      <c r="T1227" s="89"/>
      <c r="U1227" s="89"/>
      <c r="V1227" s="89"/>
      <c r="W1227" s="89"/>
      <c r="X1227" s="89"/>
      <c r="Y1227" s="89"/>
      <c r="Z1227" s="89"/>
      <c r="AA1227" s="89"/>
      <c r="AB1227" s="89"/>
      <c r="AC1227" s="89"/>
      <c r="AD1227" s="89"/>
    </row>
    <row r="1228" spans="18:30" x14ac:dyDescent="0.3">
      <c r="R1228" s="89"/>
      <c r="S1228" s="89"/>
      <c r="T1228" s="89"/>
      <c r="U1228" s="89"/>
      <c r="V1228" s="89"/>
      <c r="W1228" s="89"/>
      <c r="X1228" s="89"/>
      <c r="Y1228" s="89"/>
      <c r="Z1228" s="89"/>
      <c r="AA1228" s="89"/>
      <c r="AB1228" s="89"/>
      <c r="AC1228" s="89"/>
      <c r="AD1228" s="89"/>
    </row>
    <row r="1229" spans="18:30" x14ac:dyDescent="0.3">
      <c r="R1229" s="89"/>
      <c r="S1229" s="89"/>
      <c r="T1229" s="89"/>
      <c r="U1229" s="89"/>
      <c r="V1229" s="89"/>
      <c r="W1229" s="89"/>
      <c r="X1229" s="89"/>
      <c r="Y1229" s="89"/>
      <c r="Z1229" s="89"/>
      <c r="AA1229" s="89"/>
      <c r="AB1229" s="89"/>
      <c r="AC1229" s="89"/>
      <c r="AD1229" s="89"/>
    </row>
    <row r="1230" spans="18:30" x14ac:dyDescent="0.3">
      <c r="R1230" s="89"/>
      <c r="S1230" s="89"/>
      <c r="T1230" s="89"/>
      <c r="U1230" s="89"/>
      <c r="V1230" s="89"/>
      <c r="W1230" s="89"/>
      <c r="X1230" s="89"/>
      <c r="Y1230" s="89"/>
      <c r="Z1230" s="89"/>
      <c r="AA1230" s="89"/>
      <c r="AB1230" s="89"/>
      <c r="AC1230" s="89"/>
      <c r="AD1230" s="89"/>
    </row>
    <row r="1231" spans="18:30" x14ac:dyDescent="0.3">
      <c r="R1231" s="89"/>
      <c r="S1231" s="89"/>
      <c r="T1231" s="89"/>
      <c r="U1231" s="89"/>
      <c r="V1231" s="89"/>
      <c r="W1231" s="89"/>
      <c r="X1231" s="89"/>
      <c r="Y1231" s="89"/>
      <c r="Z1231" s="89"/>
      <c r="AA1231" s="89"/>
      <c r="AB1231" s="89"/>
      <c r="AC1231" s="89"/>
      <c r="AD1231" s="89"/>
    </row>
    <row r="1232" spans="18:30" x14ac:dyDescent="0.3">
      <c r="R1232" s="89"/>
      <c r="S1232" s="89"/>
      <c r="T1232" s="89"/>
      <c r="U1232" s="89"/>
      <c r="V1232" s="89"/>
      <c r="W1232" s="89"/>
      <c r="X1232" s="89"/>
      <c r="Y1232" s="89"/>
      <c r="Z1232" s="89"/>
      <c r="AA1232" s="89"/>
      <c r="AB1232" s="89"/>
      <c r="AC1232" s="89"/>
      <c r="AD1232" s="89"/>
    </row>
    <row r="1233" spans="18:30" x14ac:dyDescent="0.3">
      <c r="R1233" s="89"/>
      <c r="S1233" s="89"/>
      <c r="T1233" s="89"/>
      <c r="U1233" s="89"/>
      <c r="V1233" s="89"/>
      <c r="W1233" s="89"/>
      <c r="X1233" s="89"/>
      <c r="Y1233" s="89"/>
      <c r="Z1233" s="89"/>
      <c r="AA1233" s="89"/>
      <c r="AB1233" s="89"/>
      <c r="AC1233" s="89"/>
      <c r="AD1233" s="89"/>
    </row>
    <row r="1234" spans="18:30" x14ac:dyDescent="0.3">
      <c r="R1234" s="89"/>
      <c r="S1234" s="89"/>
      <c r="T1234" s="89"/>
      <c r="U1234" s="89"/>
      <c r="V1234" s="89"/>
      <c r="W1234" s="89"/>
      <c r="X1234" s="89"/>
      <c r="Y1234" s="89"/>
      <c r="Z1234" s="89"/>
      <c r="AA1234" s="89"/>
      <c r="AB1234" s="89"/>
      <c r="AC1234" s="89"/>
      <c r="AD1234" s="89"/>
    </row>
    <row r="1235" spans="18:30" x14ac:dyDescent="0.3">
      <c r="R1235" s="89"/>
      <c r="S1235" s="89"/>
      <c r="T1235" s="89"/>
      <c r="U1235" s="89"/>
      <c r="V1235" s="89"/>
      <c r="W1235" s="89"/>
      <c r="X1235" s="89"/>
      <c r="Y1235" s="89"/>
      <c r="Z1235" s="89"/>
      <c r="AA1235" s="89"/>
      <c r="AB1235" s="89"/>
      <c r="AC1235" s="89"/>
      <c r="AD1235" s="89"/>
    </row>
    <row r="1236" spans="18:30" x14ac:dyDescent="0.3">
      <c r="R1236" s="89"/>
      <c r="S1236" s="89"/>
      <c r="T1236" s="89"/>
      <c r="U1236" s="89"/>
      <c r="V1236" s="89"/>
      <c r="W1236" s="89"/>
      <c r="X1236" s="89"/>
      <c r="Y1236" s="89"/>
      <c r="Z1236" s="89"/>
      <c r="AA1236" s="89"/>
      <c r="AB1236" s="89"/>
      <c r="AC1236" s="89"/>
      <c r="AD1236" s="89"/>
    </row>
    <row r="1237" spans="18:30" x14ac:dyDescent="0.3">
      <c r="R1237" s="89"/>
      <c r="S1237" s="89"/>
      <c r="T1237" s="89"/>
      <c r="U1237" s="89"/>
      <c r="V1237" s="89"/>
      <c r="W1237" s="89"/>
      <c r="X1237" s="89"/>
      <c r="Y1237" s="89"/>
      <c r="Z1237" s="89"/>
      <c r="AA1237" s="89"/>
      <c r="AB1237" s="89"/>
      <c r="AC1237" s="89"/>
      <c r="AD1237" s="89"/>
    </row>
    <row r="1238" spans="18:30" x14ac:dyDescent="0.3">
      <c r="R1238" s="89"/>
      <c r="S1238" s="89"/>
      <c r="T1238" s="89"/>
      <c r="U1238" s="89"/>
      <c r="V1238" s="89"/>
      <c r="W1238" s="89"/>
      <c r="X1238" s="89"/>
      <c r="Y1238" s="89"/>
      <c r="Z1238" s="89"/>
      <c r="AA1238" s="89"/>
      <c r="AB1238" s="89"/>
      <c r="AC1238" s="89"/>
      <c r="AD1238" s="89"/>
    </row>
    <row r="1239" spans="18:30" x14ac:dyDescent="0.3">
      <c r="R1239" s="89"/>
      <c r="S1239" s="89"/>
      <c r="T1239" s="89"/>
      <c r="U1239" s="89"/>
      <c r="V1239" s="89"/>
      <c r="W1239" s="89"/>
      <c r="X1239" s="89"/>
      <c r="Y1239" s="89"/>
      <c r="Z1239" s="89"/>
      <c r="AA1239" s="89"/>
      <c r="AB1239" s="89"/>
      <c r="AC1239" s="89"/>
      <c r="AD1239" s="89"/>
    </row>
    <row r="1240" spans="18:30" x14ac:dyDescent="0.3">
      <c r="R1240" s="89"/>
      <c r="S1240" s="89"/>
      <c r="T1240" s="89"/>
      <c r="U1240" s="89"/>
      <c r="V1240" s="89"/>
      <c r="W1240" s="89"/>
      <c r="X1240" s="89"/>
      <c r="Y1240" s="89"/>
      <c r="Z1240" s="89"/>
      <c r="AA1240" s="89"/>
      <c r="AB1240" s="89"/>
      <c r="AC1240" s="89"/>
      <c r="AD1240" s="89"/>
    </row>
    <row r="1241" spans="18:30" x14ac:dyDescent="0.3">
      <c r="R1241" s="89"/>
      <c r="S1241" s="89"/>
      <c r="T1241" s="89"/>
      <c r="U1241" s="89"/>
      <c r="V1241" s="89"/>
      <c r="W1241" s="89"/>
      <c r="X1241" s="89"/>
      <c r="Y1241" s="89"/>
      <c r="Z1241" s="89"/>
      <c r="AA1241" s="89"/>
      <c r="AB1241" s="89"/>
      <c r="AC1241" s="89"/>
      <c r="AD1241" s="89"/>
    </row>
    <row r="1242" spans="18:30" x14ac:dyDescent="0.3">
      <c r="R1242" s="89"/>
      <c r="S1242" s="89"/>
      <c r="T1242" s="89"/>
      <c r="U1242" s="89"/>
      <c r="V1242" s="89"/>
      <c r="W1242" s="89"/>
      <c r="X1242" s="89"/>
      <c r="Y1242" s="89"/>
      <c r="Z1242" s="89"/>
      <c r="AA1242" s="89"/>
      <c r="AB1242" s="89"/>
      <c r="AC1242" s="89"/>
      <c r="AD1242" s="89"/>
    </row>
    <row r="1243" spans="18:30" x14ac:dyDescent="0.3">
      <c r="R1243" s="89"/>
      <c r="S1243" s="89"/>
      <c r="T1243" s="89"/>
      <c r="U1243" s="89"/>
      <c r="V1243" s="89"/>
      <c r="W1243" s="89"/>
      <c r="X1243" s="89"/>
      <c r="Y1243" s="89"/>
      <c r="Z1243" s="89"/>
      <c r="AA1243" s="89"/>
      <c r="AB1243" s="89"/>
      <c r="AC1243" s="89"/>
      <c r="AD1243" s="89"/>
    </row>
    <row r="1244" spans="18:30" x14ac:dyDescent="0.3">
      <c r="R1244" s="89"/>
      <c r="S1244" s="89"/>
      <c r="T1244" s="89"/>
      <c r="U1244" s="89"/>
      <c r="V1244" s="89"/>
      <c r="W1244" s="89"/>
      <c r="X1244" s="89"/>
      <c r="Y1244" s="89"/>
      <c r="Z1244" s="89"/>
      <c r="AA1244" s="89"/>
      <c r="AB1244" s="89"/>
      <c r="AC1244" s="89"/>
      <c r="AD1244" s="89"/>
    </row>
    <row r="1245" spans="18:30" x14ac:dyDescent="0.3">
      <c r="R1245" s="89"/>
      <c r="S1245" s="89"/>
      <c r="T1245" s="89"/>
      <c r="U1245" s="89"/>
      <c r="V1245" s="89"/>
      <c r="W1245" s="89"/>
      <c r="X1245" s="89"/>
      <c r="Y1245" s="89"/>
      <c r="Z1245" s="89"/>
      <c r="AA1245" s="89"/>
      <c r="AB1245" s="89"/>
      <c r="AC1245" s="89"/>
      <c r="AD1245" s="89"/>
    </row>
    <row r="1246" spans="18:30" x14ac:dyDescent="0.3">
      <c r="R1246" s="89"/>
      <c r="S1246" s="89"/>
      <c r="T1246" s="89"/>
      <c r="U1246" s="89"/>
      <c r="V1246" s="89"/>
      <c r="W1246" s="89"/>
      <c r="X1246" s="89"/>
      <c r="Y1246" s="89"/>
      <c r="Z1246" s="89"/>
      <c r="AA1246" s="89"/>
      <c r="AB1246" s="89"/>
      <c r="AC1246" s="89"/>
      <c r="AD1246" s="89"/>
    </row>
    <row r="1247" spans="18:30" x14ac:dyDescent="0.3">
      <c r="R1247" s="89"/>
      <c r="S1247" s="89"/>
      <c r="T1247" s="89"/>
      <c r="U1247" s="89"/>
      <c r="V1247" s="89"/>
      <c r="W1247" s="89"/>
      <c r="X1247" s="89"/>
      <c r="Y1247" s="89"/>
      <c r="Z1247" s="89"/>
      <c r="AA1247" s="89"/>
      <c r="AB1247" s="89"/>
      <c r="AC1247" s="89"/>
      <c r="AD1247" s="89"/>
    </row>
    <row r="1248" spans="18:30" x14ac:dyDescent="0.3">
      <c r="R1248" s="89"/>
      <c r="S1248" s="89"/>
      <c r="T1248" s="89"/>
      <c r="U1248" s="89"/>
      <c r="V1248" s="89"/>
      <c r="W1248" s="89"/>
      <c r="X1248" s="89"/>
      <c r="Y1248" s="89"/>
      <c r="Z1248" s="89"/>
      <c r="AA1248" s="89"/>
      <c r="AB1248" s="89"/>
      <c r="AC1248" s="89"/>
      <c r="AD1248" s="89"/>
    </row>
    <row r="1249" spans="18:30" x14ac:dyDescent="0.3">
      <c r="R1249" s="89"/>
      <c r="S1249" s="89"/>
      <c r="T1249" s="89"/>
      <c r="U1249" s="89"/>
      <c r="V1249" s="89"/>
      <c r="W1249" s="89"/>
      <c r="X1249" s="89"/>
      <c r="Y1249" s="89"/>
      <c r="Z1249" s="89"/>
      <c r="AA1249" s="89"/>
      <c r="AB1249" s="89"/>
      <c r="AC1249" s="89"/>
      <c r="AD1249" s="89"/>
    </row>
    <row r="1250" spans="18:30" x14ac:dyDescent="0.3">
      <c r="R1250" s="89"/>
      <c r="S1250" s="89"/>
      <c r="T1250" s="89"/>
      <c r="U1250" s="89"/>
      <c r="V1250" s="89"/>
      <c r="W1250" s="89"/>
      <c r="X1250" s="89"/>
      <c r="Y1250" s="89"/>
      <c r="Z1250" s="89"/>
      <c r="AA1250" s="89"/>
      <c r="AB1250" s="89"/>
      <c r="AC1250" s="89"/>
      <c r="AD1250" s="89"/>
    </row>
    <row r="1251" spans="18:30" x14ac:dyDescent="0.3">
      <c r="R1251" s="89"/>
      <c r="S1251" s="89"/>
      <c r="T1251" s="89"/>
      <c r="U1251" s="89"/>
      <c r="V1251" s="89"/>
      <c r="W1251" s="89"/>
      <c r="X1251" s="89"/>
      <c r="Y1251" s="89"/>
      <c r="Z1251" s="89"/>
      <c r="AA1251" s="89"/>
      <c r="AB1251" s="89"/>
      <c r="AC1251" s="89"/>
      <c r="AD1251" s="89"/>
    </row>
    <row r="1252" spans="18:30" x14ac:dyDescent="0.3">
      <c r="R1252" s="89"/>
      <c r="S1252" s="89"/>
      <c r="T1252" s="89"/>
      <c r="U1252" s="89"/>
      <c r="V1252" s="89"/>
      <c r="W1252" s="89"/>
      <c r="X1252" s="89"/>
      <c r="Y1252" s="89"/>
      <c r="Z1252" s="89"/>
      <c r="AA1252" s="89"/>
      <c r="AB1252" s="89"/>
      <c r="AC1252" s="89"/>
      <c r="AD1252" s="89"/>
    </row>
    <row r="1253" spans="18:30" x14ac:dyDescent="0.3">
      <c r="R1253" s="89"/>
      <c r="S1253" s="89"/>
      <c r="T1253" s="89"/>
      <c r="U1253" s="89"/>
      <c r="V1253" s="89"/>
      <c r="W1253" s="89"/>
      <c r="X1253" s="89"/>
      <c r="Y1253" s="89"/>
      <c r="Z1253" s="89"/>
      <c r="AA1253" s="89"/>
      <c r="AB1253" s="89"/>
      <c r="AC1253" s="89"/>
      <c r="AD1253" s="89"/>
    </row>
    <row r="1254" spans="18:30" x14ac:dyDescent="0.3">
      <c r="R1254" s="89"/>
      <c r="S1254" s="89"/>
      <c r="T1254" s="89"/>
      <c r="U1254" s="89"/>
      <c r="V1254" s="89"/>
      <c r="W1254" s="89"/>
      <c r="X1254" s="89"/>
      <c r="Y1254" s="89"/>
      <c r="Z1254" s="89"/>
      <c r="AA1254" s="89"/>
      <c r="AB1254" s="89"/>
      <c r="AC1254" s="89"/>
      <c r="AD1254" s="89"/>
    </row>
    <row r="1255" spans="18:30" x14ac:dyDescent="0.3">
      <c r="R1255" s="89"/>
      <c r="S1255" s="89"/>
      <c r="T1255" s="89"/>
      <c r="U1255" s="89"/>
      <c r="V1255" s="89"/>
      <c r="W1255" s="89"/>
      <c r="X1255" s="89"/>
      <c r="Y1255" s="89"/>
      <c r="Z1255" s="89"/>
      <c r="AA1255" s="89"/>
      <c r="AB1255" s="89"/>
      <c r="AC1255" s="89"/>
      <c r="AD1255" s="89"/>
    </row>
    <row r="1256" spans="18:30" x14ac:dyDescent="0.3">
      <c r="R1256" s="89"/>
      <c r="S1256" s="89"/>
      <c r="T1256" s="89"/>
      <c r="U1256" s="89"/>
      <c r="V1256" s="89"/>
      <c r="W1256" s="89"/>
      <c r="X1256" s="89"/>
      <c r="Y1256" s="89"/>
      <c r="Z1256" s="89"/>
      <c r="AA1256" s="89"/>
      <c r="AB1256" s="89"/>
      <c r="AC1256" s="89"/>
      <c r="AD1256" s="89"/>
    </row>
    <row r="1257" spans="18:30" x14ac:dyDescent="0.3">
      <c r="R1257" s="89"/>
      <c r="S1257" s="89"/>
      <c r="T1257" s="89"/>
      <c r="U1257" s="89"/>
      <c r="V1257" s="89"/>
      <c r="W1257" s="89"/>
      <c r="X1257" s="89"/>
      <c r="Y1257" s="89"/>
      <c r="Z1257" s="89"/>
      <c r="AA1257" s="89"/>
      <c r="AB1257" s="89"/>
      <c r="AC1257" s="89"/>
      <c r="AD1257" s="89"/>
    </row>
    <row r="1258" spans="18:30" x14ac:dyDescent="0.3">
      <c r="R1258" s="89"/>
      <c r="S1258" s="89"/>
      <c r="T1258" s="89"/>
      <c r="U1258" s="89"/>
      <c r="V1258" s="89"/>
      <c r="W1258" s="89"/>
      <c r="X1258" s="89"/>
      <c r="Y1258" s="89"/>
      <c r="Z1258" s="89"/>
      <c r="AA1258" s="89"/>
      <c r="AB1258" s="89"/>
      <c r="AC1258" s="89"/>
      <c r="AD1258" s="89"/>
    </row>
    <row r="1259" spans="18:30" x14ac:dyDescent="0.3">
      <c r="R1259" s="89"/>
      <c r="S1259" s="89"/>
      <c r="T1259" s="89"/>
      <c r="U1259" s="89"/>
      <c r="V1259" s="89"/>
      <c r="W1259" s="89"/>
      <c r="X1259" s="89"/>
      <c r="Y1259" s="89"/>
      <c r="Z1259" s="89"/>
      <c r="AA1259" s="89"/>
      <c r="AB1259" s="89"/>
      <c r="AC1259" s="89"/>
      <c r="AD1259" s="89"/>
    </row>
    <row r="1260" spans="18:30" x14ac:dyDescent="0.3">
      <c r="R1260" s="89"/>
      <c r="S1260" s="89"/>
      <c r="T1260" s="89"/>
      <c r="U1260" s="89"/>
      <c r="V1260" s="89"/>
      <c r="W1260" s="89"/>
      <c r="X1260" s="89"/>
      <c r="Y1260" s="89"/>
      <c r="Z1260" s="89"/>
      <c r="AA1260" s="89"/>
      <c r="AB1260" s="89"/>
      <c r="AC1260" s="89"/>
      <c r="AD1260" s="89"/>
    </row>
    <row r="1261" spans="18:30" x14ac:dyDescent="0.3">
      <c r="R1261" s="89"/>
      <c r="S1261" s="89"/>
      <c r="T1261" s="89"/>
      <c r="U1261" s="89"/>
      <c r="V1261" s="89"/>
      <c r="W1261" s="89"/>
      <c r="X1261" s="89"/>
      <c r="Y1261" s="89"/>
      <c r="Z1261" s="89"/>
      <c r="AA1261" s="89"/>
      <c r="AB1261" s="89"/>
      <c r="AC1261" s="89"/>
      <c r="AD1261" s="89"/>
    </row>
    <row r="1262" spans="18:30" x14ac:dyDescent="0.3">
      <c r="R1262" s="89"/>
      <c r="S1262" s="89"/>
      <c r="T1262" s="89"/>
      <c r="U1262" s="89"/>
      <c r="V1262" s="89"/>
      <c r="W1262" s="89"/>
      <c r="X1262" s="89"/>
      <c r="Y1262" s="89"/>
      <c r="Z1262" s="89"/>
      <c r="AA1262" s="89"/>
      <c r="AB1262" s="89"/>
      <c r="AC1262" s="89"/>
      <c r="AD1262" s="89"/>
    </row>
    <row r="1263" spans="18:30" x14ac:dyDescent="0.3">
      <c r="R1263" s="89"/>
      <c r="S1263" s="89"/>
      <c r="T1263" s="89"/>
      <c r="U1263" s="89"/>
      <c r="V1263" s="89"/>
      <c r="W1263" s="89"/>
      <c r="X1263" s="89"/>
      <c r="Y1263" s="89"/>
      <c r="Z1263" s="89"/>
      <c r="AA1263" s="89"/>
      <c r="AB1263" s="89"/>
      <c r="AC1263" s="89"/>
      <c r="AD1263" s="89"/>
    </row>
    <row r="1264" spans="18:30" x14ac:dyDescent="0.3">
      <c r="R1264" s="89"/>
      <c r="S1264" s="89"/>
      <c r="T1264" s="89"/>
      <c r="U1264" s="89"/>
      <c r="V1264" s="89"/>
      <c r="W1264" s="89"/>
      <c r="X1264" s="89"/>
      <c r="Y1264" s="89"/>
      <c r="Z1264" s="89"/>
      <c r="AA1264" s="89"/>
      <c r="AB1264" s="89"/>
      <c r="AC1264" s="89"/>
      <c r="AD1264" s="89"/>
    </row>
    <row r="1265" spans="18:30" x14ac:dyDescent="0.3">
      <c r="R1265" s="89"/>
      <c r="S1265" s="89"/>
      <c r="T1265" s="89"/>
      <c r="U1265" s="89"/>
      <c r="V1265" s="89"/>
      <c r="W1265" s="89"/>
      <c r="X1265" s="89"/>
      <c r="Y1265" s="89"/>
      <c r="Z1265" s="89"/>
      <c r="AA1265" s="89"/>
      <c r="AB1265" s="89"/>
      <c r="AC1265" s="89"/>
      <c r="AD1265" s="89"/>
    </row>
    <row r="1266" spans="18:30" x14ac:dyDescent="0.3">
      <c r="R1266" s="89"/>
      <c r="S1266" s="89"/>
      <c r="T1266" s="89"/>
      <c r="U1266" s="89"/>
      <c r="V1266" s="89"/>
      <c r="W1266" s="89"/>
      <c r="X1266" s="89"/>
      <c r="Y1266" s="89"/>
      <c r="Z1266" s="89"/>
      <c r="AA1266" s="89"/>
      <c r="AB1266" s="89"/>
      <c r="AC1266" s="89"/>
      <c r="AD1266" s="89"/>
    </row>
    <row r="1267" spans="18:30" x14ac:dyDescent="0.3">
      <c r="R1267" s="89"/>
      <c r="S1267" s="89"/>
      <c r="T1267" s="89"/>
      <c r="U1267" s="89"/>
      <c r="V1267" s="89"/>
      <c r="W1267" s="89"/>
      <c r="X1267" s="89"/>
      <c r="Y1267" s="89"/>
      <c r="Z1267" s="89"/>
      <c r="AA1267" s="89"/>
      <c r="AB1267" s="89"/>
      <c r="AC1267" s="89"/>
      <c r="AD1267" s="89"/>
    </row>
    <row r="1268" spans="18:30" x14ac:dyDescent="0.3">
      <c r="R1268" s="89"/>
      <c r="S1268" s="89"/>
      <c r="T1268" s="89"/>
      <c r="U1268" s="89"/>
      <c r="V1268" s="89"/>
      <c r="W1268" s="89"/>
      <c r="X1268" s="89"/>
      <c r="Y1268" s="89"/>
      <c r="Z1268" s="89"/>
      <c r="AA1268" s="89"/>
      <c r="AB1268" s="89"/>
      <c r="AC1268" s="89"/>
      <c r="AD1268" s="89"/>
    </row>
    <row r="1269" spans="18:30" x14ac:dyDescent="0.3">
      <c r="R1269" s="89"/>
      <c r="S1269" s="89"/>
      <c r="T1269" s="89"/>
      <c r="U1269" s="89"/>
      <c r="V1269" s="89"/>
      <c r="W1269" s="89"/>
      <c r="X1269" s="89"/>
      <c r="Y1269" s="89"/>
      <c r="Z1269" s="89"/>
      <c r="AA1269" s="89"/>
      <c r="AB1269" s="89"/>
      <c r="AC1269" s="89"/>
      <c r="AD1269" s="89"/>
    </row>
    <row r="1270" spans="18:30" x14ac:dyDescent="0.3">
      <c r="R1270" s="89"/>
      <c r="S1270" s="89"/>
      <c r="T1270" s="89"/>
      <c r="U1270" s="89"/>
      <c r="V1270" s="89"/>
      <c r="W1270" s="89"/>
      <c r="X1270" s="89"/>
      <c r="Y1270" s="89"/>
      <c r="Z1270" s="89"/>
      <c r="AA1270" s="89"/>
      <c r="AB1270" s="89"/>
      <c r="AC1270" s="89"/>
      <c r="AD1270" s="89"/>
    </row>
    <row r="1271" spans="18:30" x14ac:dyDescent="0.3">
      <c r="R1271" s="89"/>
      <c r="S1271" s="89"/>
      <c r="T1271" s="89"/>
      <c r="U1271" s="89"/>
      <c r="V1271" s="89"/>
      <c r="W1271" s="89"/>
      <c r="X1271" s="89"/>
      <c r="Y1271" s="89"/>
      <c r="Z1271" s="89"/>
      <c r="AA1271" s="89"/>
      <c r="AB1271" s="89"/>
      <c r="AC1271" s="89"/>
      <c r="AD1271" s="89"/>
    </row>
    <row r="1272" spans="18:30" x14ac:dyDescent="0.3">
      <c r="R1272" s="89"/>
      <c r="S1272" s="89"/>
      <c r="T1272" s="89"/>
      <c r="U1272" s="89"/>
      <c r="V1272" s="89"/>
      <c r="W1272" s="89"/>
      <c r="X1272" s="89"/>
      <c r="Y1272" s="89"/>
      <c r="Z1272" s="89"/>
      <c r="AA1272" s="89"/>
      <c r="AB1272" s="89"/>
      <c r="AC1272" s="89"/>
      <c r="AD1272" s="89"/>
    </row>
    <row r="1273" spans="18:30" x14ac:dyDescent="0.3">
      <c r="R1273" s="89"/>
      <c r="S1273" s="89"/>
      <c r="T1273" s="89"/>
      <c r="U1273" s="89"/>
      <c r="V1273" s="89"/>
      <c r="W1273" s="89"/>
      <c r="X1273" s="89"/>
      <c r="Y1273" s="89"/>
      <c r="Z1273" s="89"/>
      <c r="AA1273" s="89"/>
      <c r="AB1273" s="89"/>
      <c r="AC1273" s="89"/>
      <c r="AD1273" s="89"/>
    </row>
    <row r="1274" spans="18:30" x14ac:dyDescent="0.3">
      <c r="R1274" s="89"/>
      <c r="S1274" s="89"/>
      <c r="T1274" s="89"/>
      <c r="U1274" s="89"/>
      <c r="V1274" s="89"/>
      <c r="W1274" s="89"/>
      <c r="X1274" s="89"/>
      <c r="Y1274" s="89"/>
      <c r="Z1274" s="89"/>
      <c r="AA1274" s="89"/>
      <c r="AB1274" s="89"/>
      <c r="AC1274" s="89"/>
      <c r="AD1274" s="89"/>
    </row>
    <row r="1275" spans="18:30" x14ac:dyDescent="0.3">
      <c r="R1275" s="89"/>
      <c r="S1275" s="89"/>
      <c r="T1275" s="89"/>
      <c r="U1275" s="89"/>
      <c r="V1275" s="89"/>
      <c r="W1275" s="89"/>
      <c r="X1275" s="89"/>
      <c r="Y1275" s="89"/>
      <c r="Z1275" s="89"/>
      <c r="AA1275" s="89"/>
      <c r="AB1275" s="89"/>
      <c r="AC1275" s="89"/>
      <c r="AD1275" s="89"/>
    </row>
    <row r="1276" spans="18:30" x14ac:dyDescent="0.3">
      <c r="R1276" s="89"/>
      <c r="S1276" s="89"/>
      <c r="T1276" s="89"/>
      <c r="U1276" s="89"/>
      <c r="V1276" s="89"/>
      <c r="W1276" s="89"/>
      <c r="X1276" s="89"/>
      <c r="Y1276" s="89"/>
      <c r="Z1276" s="89"/>
      <c r="AA1276" s="89"/>
      <c r="AB1276" s="89"/>
      <c r="AC1276" s="89"/>
      <c r="AD1276" s="89"/>
    </row>
    <row r="1277" spans="18:30" x14ac:dyDescent="0.3">
      <c r="R1277" s="89"/>
      <c r="S1277" s="89"/>
      <c r="T1277" s="89"/>
      <c r="U1277" s="89"/>
      <c r="V1277" s="89"/>
      <c r="W1277" s="89"/>
      <c r="X1277" s="89"/>
      <c r="Y1277" s="89"/>
      <c r="Z1277" s="89"/>
      <c r="AA1277" s="89"/>
      <c r="AB1277" s="89"/>
      <c r="AC1277" s="89"/>
      <c r="AD1277" s="89"/>
    </row>
    <row r="1278" spans="18:30" x14ac:dyDescent="0.3">
      <c r="R1278" s="89"/>
      <c r="S1278" s="89"/>
      <c r="T1278" s="89"/>
      <c r="U1278" s="89"/>
      <c r="V1278" s="89"/>
      <c r="W1278" s="89"/>
      <c r="X1278" s="89"/>
      <c r="Y1278" s="89"/>
      <c r="Z1278" s="89"/>
      <c r="AA1278" s="89"/>
      <c r="AB1278" s="89"/>
      <c r="AC1278" s="89"/>
      <c r="AD1278" s="89"/>
    </row>
    <row r="1279" spans="18:30" x14ac:dyDescent="0.3">
      <c r="R1279" s="89"/>
      <c r="S1279" s="89"/>
      <c r="T1279" s="89"/>
      <c r="U1279" s="89"/>
      <c r="V1279" s="89"/>
      <c r="W1279" s="89"/>
      <c r="X1279" s="89"/>
      <c r="Y1279" s="89"/>
      <c r="Z1279" s="89"/>
      <c r="AA1279" s="89"/>
      <c r="AB1279" s="89"/>
      <c r="AC1279" s="89"/>
      <c r="AD1279" s="89"/>
    </row>
    <row r="1280" spans="18:30" x14ac:dyDescent="0.3">
      <c r="R1280" s="89"/>
      <c r="S1280" s="89"/>
      <c r="T1280" s="89"/>
      <c r="U1280" s="89"/>
      <c r="V1280" s="89"/>
      <c r="W1280" s="89"/>
      <c r="X1280" s="89"/>
      <c r="Y1280" s="89"/>
      <c r="Z1280" s="89"/>
      <c r="AA1280" s="89"/>
      <c r="AB1280" s="89"/>
      <c r="AC1280" s="89"/>
      <c r="AD1280" s="89"/>
    </row>
    <row r="1281" spans="18:30" x14ac:dyDescent="0.3">
      <c r="R1281" s="89"/>
      <c r="S1281" s="89"/>
      <c r="T1281" s="89"/>
      <c r="U1281" s="89"/>
      <c r="V1281" s="89"/>
      <c r="W1281" s="89"/>
      <c r="X1281" s="89"/>
      <c r="Y1281" s="89"/>
      <c r="Z1281" s="89"/>
      <c r="AA1281" s="89"/>
      <c r="AB1281" s="89"/>
      <c r="AC1281" s="89"/>
      <c r="AD1281" s="89"/>
    </row>
    <row r="1282" spans="18:30" x14ac:dyDescent="0.3">
      <c r="R1282" s="89"/>
      <c r="S1282" s="89"/>
      <c r="T1282" s="89"/>
      <c r="U1282" s="89"/>
      <c r="V1282" s="89"/>
      <c r="W1282" s="89"/>
      <c r="X1282" s="89"/>
      <c r="Y1282" s="89"/>
      <c r="Z1282" s="89"/>
      <c r="AA1282" s="89"/>
      <c r="AB1282" s="89"/>
      <c r="AC1282" s="89"/>
      <c r="AD1282" s="89"/>
    </row>
    <row r="1283" spans="18:30" x14ac:dyDescent="0.3">
      <c r="R1283" s="89"/>
      <c r="S1283" s="89"/>
      <c r="T1283" s="89"/>
      <c r="U1283" s="89"/>
      <c r="V1283" s="89"/>
      <c r="W1283" s="89"/>
      <c r="X1283" s="89"/>
      <c r="Y1283" s="89"/>
      <c r="Z1283" s="89"/>
      <c r="AA1283" s="89"/>
      <c r="AB1283" s="89"/>
      <c r="AC1283" s="89"/>
      <c r="AD1283" s="89"/>
    </row>
    <row r="1284" spans="18:30" x14ac:dyDescent="0.3">
      <c r="R1284" s="89"/>
      <c r="S1284" s="89"/>
      <c r="T1284" s="89"/>
      <c r="U1284" s="89"/>
      <c r="V1284" s="89"/>
      <c r="W1284" s="89"/>
      <c r="X1284" s="89"/>
      <c r="Y1284" s="89"/>
      <c r="Z1284" s="89"/>
      <c r="AA1284" s="89"/>
      <c r="AB1284" s="89"/>
      <c r="AC1284" s="89"/>
      <c r="AD1284" s="89"/>
    </row>
    <row r="1285" spans="18:30" x14ac:dyDescent="0.3">
      <c r="R1285" s="89"/>
      <c r="S1285" s="89"/>
      <c r="T1285" s="89"/>
      <c r="U1285" s="89"/>
      <c r="V1285" s="89"/>
      <c r="W1285" s="89"/>
      <c r="X1285" s="89"/>
      <c r="Y1285" s="89"/>
      <c r="Z1285" s="89"/>
      <c r="AA1285" s="89"/>
      <c r="AB1285" s="89"/>
      <c r="AC1285" s="89"/>
      <c r="AD1285" s="89"/>
    </row>
    <row r="1286" spans="18:30" x14ac:dyDescent="0.3">
      <c r="R1286" s="89"/>
      <c r="S1286" s="89"/>
      <c r="T1286" s="89"/>
      <c r="U1286" s="89"/>
      <c r="V1286" s="89"/>
      <c r="W1286" s="89"/>
      <c r="X1286" s="89"/>
      <c r="Y1286" s="89"/>
      <c r="Z1286" s="89"/>
      <c r="AA1286" s="89"/>
      <c r="AB1286" s="89"/>
      <c r="AC1286" s="89"/>
      <c r="AD1286" s="89"/>
    </row>
    <row r="1287" spans="18:30" x14ac:dyDescent="0.3">
      <c r="R1287" s="89"/>
      <c r="S1287" s="89"/>
      <c r="T1287" s="89"/>
      <c r="U1287" s="89"/>
      <c r="V1287" s="89"/>
      <c r="W1287" s="89"/>
      <c r="X1287" s="89"/>
      <c r="Y1287" s="89"/>
      <c r="Z1287" s="89"/>
      <c r="AA1287" s="89"/>
      <c r="AB1287" s="89"/>
      <c r="AC1287" s="89"/>
      <c r="AD1287" s="89"/>
    </row>
    <row r="1288" spans="18:30" x14ac:dyDescent="0.3">
      <c r="R1288" s="89"/>
      <c r="S1288" s="89"/>
      <c r="T1288" s="89"/>
      <c r="U1288" s="89"/>
      <c r="V1288" s="89"/>
      <c r="W1288" s="89"/>
      <c r="X1288" s="89"/>
      <c r="Y1288" s="89"/>
      <c r="Z1288" s="89"/>
      <c r="AA1288" s="89"/>
      <c r="AB1288" s="89"/>
      <c r="AC1288" s="89"/>
      <c r="AD1288" s="89"/>
    </row>
    <row r="1289" spans="18:30" x14ac:dyDescent="0.3">
      <c r="R1289" s="89"/>
      <c r="S1289" s="89"/>
      <c r="T1289" s="89"/>
      <c r="U1289" s="89"/>
      <c r="V1289" s="89"/>
      <c r="W1289" s="89"/>
      <c r="X1289" s="89"/>
      <c r="Y1289" s="89"/>
      <c r="Z1289" s="89"/>
      <c r="AA1289" s="89"/>
      <c r="AB1289" s="89"/>
      <c r="AC1289" s="89"/>
      <c r="AD1289" s="89"/>
    </row>
    <row r="1290" spans="18:30" x14ac:dyDescent="0.3">
      <c r="R1290" s="89"/>
      <c r="S1290" s="89"/>
      <c r="T1290" s="89"/>
      <c r="U1290" s="89"/>
      <c r="V1290" s="89"/>
      <c r="W1290" s="89"/>
      <c r="X1290" s="89"/>
      <c r="Y1290" s="89"/>
      <c r="Z1290" s="89"/>
      <c r="AA1290" s="89"/>
      <c r="AB1290" s="89"/>
      <c r="AC1290" s="89"/>
      <c r="AD1290" s="89"/>
    </row>
    <row r="1291" spans="18:30" x14ac:dyDescent="0.3">
      <c r="R1291" s="89"/>
      <c r="S1291" s="89"/>
      <c r="T1291" s="89"/>
      <c r="U1291" s="89"/>
      <c r="V1291" s="89"/>
      <c r="W1291" s="89"/>
      <c r="X1291" s="89"/>
      <c r="Y1291" s="89"/>
      <c r="Z1291" s="89"/>
      <c r="AA1291" s="89"/>
      <c r="AB1291" s="89"/>
      <c r="AC1291" s="89"/>
      <c r="AD1291" s="89"/>
    </row>
    <row r="1292" spans="18:30" x14ac:dyDescent="0.3">
      <c r="R1292" s="89"/>
      <c r="S1292" s="89"/>
      <c r="T1292" s="89"/>
      <c r="U1292" s="89"/>
      <c r="V1292" s="89"/>
      <c r="W1292" s="89"/>
      <c r="X1292" s="89"/>
      <c r="Y1292" s="89"/>
      <c r="Z1292" s="89"/>
      <c r="AA1292" s="89"/>
      <c r="AB1292" s="89"/>
      <c r="AC1292" s="89"/>
      <c r="AD1292" s="89"/>
    </row>
    <row r="1293" spans="18:30" x14ac:dyDescent="0.3">
      <c r="R1293" s="89"/>
      <c r="S1293" s="89"/>
      <c r="T1293" s="89"/>
      <c r="U1293" s="89"/>
      <c r="V1293" s="89"/>
      <c r="W1293" s="89"/>
      <c r="X1293" s="89"/>
      <c r="Y1293" s="89"/>
      <c r="Z1293" s="89"/>
      <c r="AA1293" s="89"/>
      <c r="AB1293" s="89"/>
      <c r="AC1293" s="89"/>
      <c r="AD1293" s="89"/>
    </row>
    <row r="1294" spans="18:30" x14ac:dyDescent="0.3">
      <c r="R1294" s="89"/>
      <c r="S1294" s="89"/>
      <c r="T1294" s="89"/>
      <c r="U1294" s="89"/>
      <c r="V1294" s="89"/>
      <c r="W1294" s="89"/>
      <c r="X1294" s="89"/>
      <c r="Y1294" s="89"/>
      <c r="Z1294" s="89"/>
      <c r="AA1294" s="89"/>
      <c r="AB1294" s="89"/>
      <c r="AC1294" s="89"/>
      <c r="AD1294" s="89"/>
    </row>
    <row r="1295" spans="18:30" x14ac:dyDescent="0.3">
      <c r="R1295" s="89"/>
      <c r="S1295" s="89"/>
      <c r="T1295" s="89"/>
      <c r="U1295" s="89"/>
      <c r="V1295" s="89"/>
      <c r="W1295" s="89"/>
      <c r="X1295" s="89"/>
      <c r="Y1295" s="89"/>
      <c r="Z1295" s="89"/>
      <c r="AA1295" s="89"/>
      <c r="AB1295" s="89"/>
      <c r="AC1295" s="89"/>
      <c r="AD1295" s="89"/>
    </row>
    <row r="1296" spans="18:30" x14ac:dyDescent="0.3">
      <c r="R1296" s="89"/>
      <c r="S1296" s="89"/>
      <c r="T1296" s="89"/>
      <c r="U1296" s="89"/>
      <c r="V1296" s="89"/>
      <c r="W1296" s="89"/>
      <c r="X1296" s="89"/>
      <c r="Y1296" s="89"/>
      <c r="Z1296" s="89"/>
      <c r="AA1296" s="89"/>
      <c r="AB1296" s="89"/>
      <c r="AC1296" s="89"/>
      <c r="AD1296" s="89"/>
    </row>
    <row r="1297" spans="18:30" x14ac:dyDescent="0.3">
      <c r="R1297" s="89"/>
      <c r="S1297" s="89"/>
      <c r="T1297" s="89"/>
      <c r="U1297" s="89"/>
      <c r="V1297" s="89"/>
      <c r="W1297" s="89"/>
      <c r="X1297" s="89"/>
      <c r="Y1297" s="89"/>
      <c r="Z1297" s="89"/>
      <c r="AA1297" s="89"/>
      <c r="AB1297" s="89"/>
      <c r="AC1297" s="89"/>
      <c r="AD1297" s="89"/>
    </row>
    <row r="1298" spans="18:30" x14ac:dyDescent="0.3">
      <c r="R1298" s="89"/>
      <c r="S1298" s="89"/>
      <c r="T1298" s="89"/>
      <c r="U1298" s="89"/>
      <c r="V1298" s="89"/>
      <c r="W1298" s="89"/>
      <c r="X1298" s="89"/>
      <c r="Y1298" s="89"/>
      <c r="Z1298" s="89"/>
      <c r="AA1298" s="89"/>
      <c r="AB1298" s="89"/>
      <c r="AC1298" s="89"/>
      <c r="AD1298" s="89"/>
    </row>
    <row r="1299" spans="18:30" x14ac:dyDescent="0.3">
      <c r="R1299" s="89"/>
      <c r="S1299" s="89"/>
      <c r="T1299" s="89"/>
      <c r="U1299" s="89"/>
      <c r="V1299" s="89"/>
      <c r="W1299" s="89"/>
      <c r="X1299" s="89"/>
      <c r="Y1299" s="89"/>
      <c r="Z1299" s="89"/>
      <c r="AA1299" s="89"/>
      <c r="AB1299" s="89"/>
      <c r="AC1299" s="89"/>
      <c r="AD1299" s="89"/>
    </row>
    <row r="1300" spans="18:30" x14ac:dyDescent="0.3">
      <c r="R1300" s="89"/>
      <c r="S1300" s="89"/>
      <c r="T1300" s="89"/>
      <c r="U1300" s="89"/>
      <c r="V1300" s="89"/>
      <c r="W1300" s="89"/>
      <c r="X1300" s="89"/>
      <c r="Y1300" s="89"/>
      <c r="Z1300" s="89"/>
      <c r="AA1300" s="89"/>
      <c r="AB1300" s="89"/>
      <c r="AC1300" s="89"/>
      <c r="AD1300" s="89"/>
    </row>
    <row r="1301" spans="18:30" x14ac:dyDescent="0.3">
      <c r="R1301" s="89"/>
      <c r="S1301" s="89"/>
      <c r="T1301" s="89"/>
      <c r="U1301" s="89"/>
      <c r="V1301" s="89"/>
      <c r="W1301" s="89"/>
      <c r="X1301" s="89"/>
      <c r="Y1301" s="89"/>
      <c r="Z1301" s="89"/>
      <c r="AA1301" s="89"/>
      <c r="AB1301" s="89"/>
      <c r="AC1301" s="89"/>
      <c r="AD1301" s="89"/>
    </row>
    <row r="1302" spans="18:30" x14ac:dyDescent="0.3">
      <c r="R1302" s="89"/>
      <c r="S1302" s="89"/>
      <c r="T1302" s="89"/>
      <c r="U1302" s="89"/>
      <c r="V1302" s="89"/>
      <c r="W1302" s="89"/>
      <c r="X1302" s="89"/>
      <c r="Y1302" s="89"/>
      <c r="Z1302" s="89"/>
      <c r="AA1302" s="89"/>
      <c r="AB1302" s="89"/>
      <c r="AC1302" s="89"/>
      <c r="AD1302" s="89"/>
    </row>
    <row r="1303" spans="18:30" x14ac:dyDescent="0.3">
      <c r="R1303" s="89"/>
      <c r="S1303" s="89"/>
      <c r="T1303" s="89"/>
      <c r="U1303" s="89"/>
      <c r="V1303" s="89"/>
      <c r="W1303" s="89"/>
      <c r="X1303" s="89"/>
      <c r="Y1303" s="89"/>
      <c r="Z1303" s="89"/>
      <c r="AA1303" s="89"/>
      <c r="AB1303" s="89"/>
      <c r="AC1303" s="89"/>
      <c r="AD1303" s="89"/>
    </row>
    <row r="1304" spans="18:30" x14ac:dyDescent="0.3">
      <c r="R1304" s="89"/>
      <c r="S1304" s="89"/>
      <c r="T1304" s="89"/>
      <c r="U1304" s="89"/>
      <c r="V1304" s="89"/>
      <c r="W1304" s="89"/>
      <c r="X1304" s="89"/>
      <c r="Y1304" s="89"/>
      <c r="Z1304" s="89"/>
      <c r="AA1304" s="89"/>
      <c r="AB1304" s="89"/>
      <c r="AC1304" s="89"/>
      <c r="AD1304" s="89"/>
    </row>
    <row r="1305" spans="18:30" x14ac:dyDescent="0.3">
      <c r="R1305" s="89"/>
      <c r="S1305" s="89"/>
      <c r="T1305" s="89"/>
      <c r="U1305" s="89"/>
      <c r="V1305" s="89"/>
      <c r="W1305" s="89"/>
      <c r="X1305" s="89"/>
      <c r="Y1305" s="89"/>
      <c r="Z1305" s="89"/>
      <c r="AA1305" s="89"/>
      <c r="AB1305" s="89"/>
      <c r="AC1305" s="89"/>
      <c r="AD1305" s="89"/>
    </row>
    <row r="1306" spans="18:30" x14ac:dyDescent="0.3">
      <c r="R1306" s="89"/>
      <c r="S1306" s="89"/>
      <c r="T1306" s="89"/>
      <c r="U1306" s="89"/>
      <c r="V1306" s="89"/>
      <c r="W1306" s="89"/>
      <c r="X1306" s="89"/>
      <c r="Y1306" s="89"/>
      <c r="Z1306" s="89"/>
      <c r="AA1306" s="89"/>
      <c r="AB1306" s="89"/>
      <c r="AC1306" s="89"/>
      <c r="AD1306" s="89"/>
    </row>
    <row r="1307" spans="18:30" x14ac:dyDescent="0.3">
      <c r="R1307" s="89"/>
      <c r="S1307" s="89"/>
      <c r="T1307" s="89"/>
      <c r="U1307" s="89"/>
      <c r="V1307" s="89"/>
      <c r="W1307" s="89"/>
      <c r="X1307" s="89"/>
      <c r="Y1307" s="89"/>
      <c r="Z1307" s="89"/>
      <c r="AA1307" s="89"/>
      <c r="AB1307" s="89"/>
      <c r="AC1307" s="89"/>
      <c r="AD1307" s="89"/>
    </row>
    <row r="1308" spans="18:30" x14ac:dyDescent="0.3">
      <c r="R1308" s="89"/>
      <c r="S1308" s="89"/>
      <c r="T1308" s="89"/>
      <c r="U1308" s="89"/>
      <c r="V1308" s="89"/>
      <c r="W1308" s="89"/>
      <c r="X1308" s="89"/>
      <c r="Y1308" s="89"/>
      <c r="Z1308" s="89"/>
      <c r="AA1308" s="89"/>
      <c r="AB1308" s="89"/>
      <c r="AC1308" s="89"/>
      <c r="AD1308" s="89"/>
    </row>
    <row r="1309" spans="18:30" x14ac:dyDescent="0.3">
      <c r="R1309" s="89"/>
      <c r="S1309" s="89"/>
      <c r="T1309" s="89"/>
      <c r="U1309" s="89"/>
      <c r="V1309" s="89"/>
      <c r="W1309" s="89"/>
      <c r="X1309" s="89"/>
      <c r="Y1309" s="89"/>
      <c r="Z1309" s="89"/>
      <c r="AA1309" s="89"/>
      <c r="AB1309" s="89"/>
      <c r="AC1309" s="89"/>
      <c r="AD1309" s="89"/>
    </row>
    <row r="1310" spans="18:30" x14ac:dyDescent="0.3">
      <c r="R1310" s="89"/>
      <c r="S1310" s="89"/>
      <c r="T1310" s="89"/>
      <c r="U1310" s="89"/>
      <c r="V1310" s="89"/>
      <c r="W1310" s="89"/>
      <c r="X1310" s="89"/>
      <c r="Y1310" s="89"/>
      <c r="Z1310" s="89"/>
      <c r="AA1310" s="89"/>
      <c r="AB1310" s="89"/>
      <c r="AC1310" s="89"/>
      <c r="AD1310" s="89"/>
    </row>
    <row r="1311" spans="18:30" x14ac:dyDescent="0.3">
      <c r="R1311" s="89"/>
      <c r="S1311" s="89"/>
      <c r="T1311" s="89"/>
      <c r="U1311" s="89"/>
      <c r="V1311" s="89"/>
      <c r="W1311" s="89"/>
      <c r="X1311" s="89"/>
      <c r="Y1311" s="89"/>
      <c r="Z1311" s="89"/>
      <c r="AA1311" s="89"/>
      <c r="AB1311" s="89"/>
      <c r="AC1311" s="89"/>
      <c r="AD1311" s="89"/>
    </row>
    <row r="1312" spans="18:30" x14ac:dyDescent="0.3">
      <c r="R1312" s="89"/>
      <c r="S1312" s="89"/>
      <c r="T1312" s="89"/>
      <c r="U1312" s="89"/>
      <c r="V1312" s="89"/>
      <c r="W1312" s="89"/>
      <c r="X1312" s="89"/>
      <c r="Y1312" s="89"/>
      <c r="Z1312" s="89"/>
      <c r="AA1312" s="89"/>
      <c r="AB1312" s="89"/>
      <c r="AC1312" s="89"/>
      <c r="AD1312" s="89"/>
    </row>
    <row r="1313" spans="18:30" x14ac:dyDescent="0.3">
      <c r="R1313" s="89"/>
      <c r="S1313" s="89"/>
      <c r="T1313" s="89"/>
      <c r="U1313" s="89"/>
      <c r="V1313" s="89"/>
      <c r="W1313" s="89"/>
      <c r="X1313" s="89"/>
      <c r="Y1313" s="89"/>
      <c r="Z1313" s="89"/>
      <c r="AA1313" s="89"/>
      <c r="AB1313" s="89"/>
      <c r="AC1313" s="89"/>
      <c r="AD1313" s="89"/>
    </row>
    <row r="1314" spans="18:30" x14ac:dyDescent="0.3">
      <c r="R1314" s="89"/>
      <c r="S1314" s="89"/>
      <c r="T1314" s="89"/>
      <c r="U1314" s="89"/>
      <c r="V1314" s="89"/>
      <c r="W1314" s="89"/>
      <c r="X1314" s="89"/>
      <c r="Y1314" s="89"/>
      <c r="Z1314" s="89"/>
      <c r="AA1314" s="89"/>
      <c r="AB1314" s="89"/>
      <c r="AC1314" s="89"/>
      <c r="AD1314" s="89"/>
    </row>
    <row r="1315" spans="18:30" x14ac:dyDescent="0.3">
      <c r="R1315" s="89"/>
      <c r="S1315" s="89"/>
      <c r="T1315" s="89"/>
      <c r="U1315" s="89"/>
      <c r="V1315" s="89"/>
      <c r="W1315" s="89"/>
      <c r="X1315" s="89"/>
      <c r="Y1315" s="89"/>
      <c r="Z1315" s="89"/>
      <c r="AA1315" s="89"/>
      <c r="AB1315" s="89"/>
      <c r="AC1315" s="89"/>
      <c r="AD1315" s="89"/>
    </row>
    <row r="1316" spans="18:30" x14ac:dyDescent="0.3">
      <c r="R1316" s="89"/>
      <c r="S1316" s="89"/>
      <c r="T1316" s="89"/>
      <c r="U1316" s="89"/>
      <c r="V1316" s="89"/>
      <c r="W1316" s="89"/>
      <c r="X1316" s="89"/>
      <c r="Y1316" s="89"/>
      <c r="Z1316" s="89"/>
      <c r="AA1316" s="89"/>
      <c r="AB1316" s="89"/>
      <c r="AC1316" s="89"/>
      <c r="AD1316" s="89"/>
    </row>
    <row r="1317" spans="18:30" x14ac:dyDescent="0.3">
      <c r="R1317" s="89"/>
      <c r="S1317" s="89"/>
      <c r="T1317" s="89"/>
      <c r="U1317" s="89"/>
      <c r="V1317" s="89"/>
      <c r="W1317" s="89"/>
      <c r="X1317" s="89"/>
      <c r="Y1317" s="89"/>
      <c r="Z1317" s="89"/>
      <c r="AA1317" s="89"/>
      <c r="AB1317" s="89"/>
      <c r="AC1317" s="89"/>
      <c r="AD1317" s="89"/>
    </row>
    <row r="1318" spans="18:30" x14ac:dyDescent="0.3">
      <c r="R1318" s="89"/>
      <c r="S1318" s="89"/>
      <c r="T1318" s="89"/>
      <c r="U1318" s="89"/>
      <c r="V1318" s="89"/>
      <c r="W1318" s="89"/>
      <c r="X1318" s="89"/>
      <c r="Y1318" s="89"/>
      <c r="Z1318" s="89"/>
      <c r="AA1318" s="89"/>
      <c r="AB1318" s="89"/>
      <c r="AC1318" s="89"/>
      <c r="AD1318" s="89"/>
    </row>
    <row r="1319" spans="18:30" x14ac:dyDescent="0.3">
      <c r="R1319" s="89"/>
      <c r="S1319" s="89"/>
      <c r="T1319" s="89"/>
      <c r="U1319" s="89"/>
      <c r="V1319" s="89"/>
      <c r="W1319" s="89"/>
      <c r="X1319" s="89"/>
      <c r="Y1319" s="89"/>
      <c r="Z1319" s="89"/>
      <c r="AA1319" s="89"/>
      <c r="AB1319" s="89"/>
      <c r="AC1319" s="89"/>
      <c r="AD1319" s="89"/>
    </row>
    <row r="1320" spans="18:30" x14ac:dyDescent="0.3">
      <c r="R1320" s="89"/>
      <c r="S1320" s="89"/>
      <c r="T1320" s="89"/>
      <c r="U1320" s="89"/>
      <c r="V1320" s="89"/>
      <c r="W1320" s="89"/>
      <c r="X1320" s="89"/>
      <c r="Y1320" s="89"/>
      <c r="Z1320" s="89"/>
      <c r="AA1320" s="89"/>
      <c r="AB1320" s="89"/>
      <c r="AC1320" s="89"/>
      <c r="AD1320" s="89"/>
    </row>
    <row r="1321" spans="18:30" x14ac:dyDescent="0.3">
      <c r="R1321" s="89"/>
      <c r="S1321" s="89"/>
      <c r="T1321" s="89"/>
      <c r="U1321" s="89"/>
      <c r="V1321" s="89"/>
      <c r="W1321" s="89"/>
      <c r="X1321" s="89"/>
      <c r="Y1321" s="89"/>
      <c r="Z1321" s="89"/>
      <c r="AA1321" s="89"/>
      <c r="AB1321" s="89"/>
      <c r="AC1321" s="89"/>
      <c r="AD1321" s="89"/>
    </row>
    <row r="1322" spans="18:30" x14ac:dyDescent="0.3">
      <c r="R1322" s="89"/>
      <c r="S1322" s="89"/>
      <c r="T1322" s="89"/>
      <c r="U1322" s="89"/>
      <c r="V1322" s="89"/>
      <c r="W1322" s="89"/>
      <c r="X1322" s="89"/>
      <c r="Y1322" s="89"/>
      <c r="Z1322" s="89"/>
      <c r="AA1322" s="89"/>
      <c r="AB1322" s="89"/>
      <c r="AC1322" s="89"/>
      <c r="AD1322" s="89"/>
    </row>
    <row r="1323" spans="18:30" x14ac:dyDescent="0.3">
      <c r="R1323" s="89"/>
      <c r="S1323" s="89"/>
      <c r="T1323" s="89"/>
      <c r="U1323" s="89"/>
      <c r="V1323" s="89"/>
      <c r="W1323" s="89"/>
      <c r="X1323" s="89"/>
      <c r="Y1323" s="89"/>
      <c r="Z1323" s="89"/>
      <c r="AA1323" s="89"/>
      <c r="AB1323" s="89"/>
      <c r="AC1323" s="89"/>
      <c r="AD1323" s="89"/>
    </row>
    <row r="1324" spans="18:30" x14ac:dyDescent="0.3">
      <c r="R1324" s="89"/>
      <c r="S1324" s="89"/>
      <c r="T1324" s="89"/>
      <c r="U1324" s="89"/>
      <c r="V1324" s="89"/>
      <c r="W1324" s="89"/>
      <c r="X1324" s="89"/>
      <c r="Y1324" s="89"/>
      <c r="Z1324" s="89"/>
      <c r="AA1324" s="89"/>
      <c r="AB1324" s="89"/>
      <c r="AC1324" s="89"/>
      <c r="AD1324" s="89"/>
    </row>
    <row r="1325" spans="18:30" x14ac:dyDescent="0.3">
      <c r="R1325" s="89"/>
      <c r="S1325" s="89"/>
      <c r="T1325" s="89"/>
      <c r="U1325" s="89"/>
      <c r="V1325" s="89"/>
      <c r="W1325" s="89"/>
      <c r="X1325" s="89"/>
      <c r="Y1325" s="89"/>
      <c r="Z1325" s="89"/>
      <c r="AA1325" s="89"/>
      <c r="AB1325" s="89"/>
      <c r="AC1325" s="89"/>
      <c r="AD1325" s="89"/>
    </row>
    <row r="1326" spans="18:30" x14ac:dyDescent="0.3">
      <c r="R1326" s="89"/>
      <c r="S1326" s="89"/>
      <c r="T1326" s="89"/>
      <c r="U1326" s="89"/>
      <c r="V1326" s="89"/>
      <c r="W1326" s="89"/>
      <c r="X1326" s="89"/>
      <c r="Y1326" s="89"/>
      <c r="Z1326" s="89"/>
      <c r="AA1326" s="89"/>
      <c r="AB1326" s="89"/>
      <c r="AC1326" s="89"/>
      <c r="AD1326" s="89"/>
    </row>
    <row r="1327" spans="18:30" x14ac:dyDescent="0.3">
      <c r="R1327" s="89"/>
      <c r="S1327" s="89"/>
      <c r="T1327" s="89"/>
      <c r="U1327" s="89"/>
      <c r="V1327" s="89"/>
      <c r="W1327" s="89"/>
      <c r="X1327" s="89"/>
      <c r="Y1327" s="89"/>
      <c r="Z1327" s="89"/>
      <c r="AA1327" s="89"/>
      <c r="AB1327" s="89"/>
      <c r="AC1327" s="89"/>
      <c r="AD1327" s="89"/>
    </row>
    <row r="1328" spans="18:30" x14ac:dyDescent="0.3">
      <c r="R1328" s="89"/>
      <c r="S1328" s="89"/>
      <c r="T1328" s="89"/>
      <c r="U1328" s="89"/>
      <c r="V1328" s="89"/>
      <c r="W1328" s="89"/>
      <c r="X1328" s="89"/>
      <c r="Y1328" s="89"/>
      <c r="Z1328" s="89"/>
      <c r="AA1328" s="89"/>
      <c r="AB1328" s="89"/>
      <c r="AC1328" s="89"/>
      <c r="AD1328" s="89"/>
    </row>
    <row r="1329" spans="18:30" x14ac:dyDescent="0.3">
      <c r="R1329" s="89"/>
      <c r="S1329" s="89"/>
      <c r="T1329" s="89"/>
      <c r="U1329" s="89"/>
      <c r="V1329" s="89"/>
      <c r="W1329" s="89"/>
      <c r="X1329" s="89"/>
      <c r="Y1329" s="89"/>
      <c r="Z1329" s="89"/>
      <c r="AA1329" s="89"/>
      <c r="AB1329" s="89"/>
      <c r="AC1329" s="89"/>
      <c r="AD1329" s="89"/>
    </row>
    <row r="1330" spans="18:30" x14ac:dyDescent="0.3">
      <c r="R1330" s="89"/>
      <c r="S1330" s="89"/>
      <c r="T1330" s="89"/>
      <c r="U1330" s="89"/>
      <c r="V1330" s="89"/>
      <c r="W1330" s="89"/>
      <c r="X1330" s="89"/>
      <c r="Y1330" s="89"/>
      <c r="Z1330" s="89"/>
      <c r="AA1330" s="89"/>
      <c r="AB1330" s="89"/>
      <c r="AC1330" s="89"/>
      <c r="AD1330" s="89"/>
    </row>
    <row r="1331" spans="18:30" x14ac:dyDescent="0.3">
      <c r="R1331" s="89"/>
      <c r="S1331" s="89"/>
      <c r="T1331" s="89"/>
      <c r="U1331" s="89"/>
      <c r="V1331" s="89"/>
      <c r="W1331" s="89"/>
      <c r="X1331" s="89"/>
      <c r="Y1331" s="89"/>
      <c r="Z1331" s="89"/>
      <c r="AA1331" s="89"/>
      <c r="AB1331" s="89"/>
      <c r="AC1331" s="89"/>
      <c r="AD1331" s="89"/>
    </row>
    <row r="1332" spans="18:30" x14ac:dyDescent="0.3">
      <c r="R1332" s="89"/>
      <c r="S1332" s="89"/>
      <c r="T1332" s="89"/>
      <c r="U1332" s="89"/>
      <c r="V1332" s="89"/>
      <c r="W1332" s="89"/>
      <c r="X1332" s="89"/>
      <c r="Y1332" s="89"/>
      <c r="Z1332" s="89"/>
      <c r="AA1332" s="89"/>
      <c r="AB1332" s="89"/>
      <c r="AC1332" s="89"/>
      <c r="AD1332" s="89"/>
    </row>
    <row r="1333" spans="18:30" x14ac:dyDescent="0.3">
      <c r="R1333" s="89"/>
      <c r="S1333" s="89"/>
      <c r="T1333" s="89"/>
      <c r="U1333" s="89"/>
      <c r="V1333" s="89"/>
      <c r="W1333" s="89"/>
      <c r="X1333" s="89"/>
      <c r="Y1333" s="89"/>
      <c r="Z1333" s="89"/>
      <c r="AA1333" s="89"/>
      <c r="AB1333" s="89"/>
      <c r="AC1333" s="89"/>
      <c r="AD1333" s="89"/>
    </row>
    <row r="1334" spans="18:30" x14ac:dyDescent="0.3">
      <c r="R1334" s="89"/>
      <c r="S1334" s="89"/>
      <c r="T1334" s="89"/>
      <c r="U1334" s="89"/>
      <c r="V1334" s="89"/>
      <c r="W1334" s="89"/>
      <c r="X1334" s="89"/>
      <c r="Y1334" s="89"/>
      <c r="Z1334" s="89"/>
      <c r="AA1334" s="89"/>
      <c r="AB1334" s="89"/>
      <c r="AC1334" s="89"/>
      <c r="AD1334" s="89"/>
    </row>
    <row r="1335" spans="18:30" x14ac:dyDescent="0.3">
      <c r="R1335" s="89"/>
      <c r="S1335" s="89"/>
      <c r="T1335" s="89"/>
      <c r="U1335" s="89"/>
      <c r="V1335" s="89"/>
      <c r="W1335" s="89"/>
      <c r="X1335" s="89"/>
      <c r="Y1335" s="89"/>
      <c r="Z1335" s="89"/>
      <c r="AA1335" s="89"/>
      <c r="AB1335" s="89"/>
      <c r="AC1335" s="89"/>
      <c r="AD1335" s="89"/>
    </row>
    <row r="1336" spans="18:30" x14ac:dyDescent="0.3">
      <c r="R1336" s="89"/>
      <c r="S1336" s="89"/>
      <c r="T1336" s="89"/>
      <c r="U1336" s="89"/>
      <c r="V1336" s="89"/>
      <c r="W1336" s="89"/>
      <c r="X1336" s="89"/>
      <c r="Y1336" s="89"/>
      <c r="Z1336" s="89"/>
      <c r="AA1336" s="89"/>
      <c r="AB1336" s="89"/>
      <c r="AC1336" s="89"/>
      <c r="AD1336" s="89"/>
    </row>
    <row r="1337" spans="18:30" x14ac:dyDescent="0.3">
      <c r="R1337" s="89"/>
      <c r="S1337" s="89"/>
      <c r="T1337" s="89"/>
      <c r="U1337" s="89"/>
      <c r="V1337" s="89"/>
      <c r="W1337" s="89"/>
      <c r="X1337" s="89"/>
      <c r="Y1337" s="89"/>
      <c r="Z1337" s="89"/>
      <c r="AA1337" s="89"/>
      <c r="AB1337" s="89"/>
      <c r="AC1337" s="89"/>
      <c r="AD1337" s="89"/>
    </row>
    <row r="1338" spans="18:30" x14ac:dyDescent="0.3">
      <c r="R1338" s="89"/>
      <c r="S1338" s="89"/>
      <c r="T1338" s="89"/>
      <c r="U1338" s="89"/>
      <c r="V1338" s="89"/>
      <c r="W1338" s="89"/>
      <c r="X1338" s="89"/>
      <c r="Y1338" s="89"/>
      <c r="Z1338" s="89"/>
      <c r="AA1338" s="89"/>
      <c r="AB1338" s="89"/>
      <c r="AC1338" s="89"/>
      <c r="AD1338" s="89"/>
    </row>
    <row r="1339" spans="18:30" x14ac:dyDescent="0.3">
      <c r="R1339" s="89"/>
      <c r="S1339" s="89"/>
      <c r="T1339" s="89"/>
      <c r="U1339" s="89"/>
      <c r="V1339" s="89"/>
      <c r="W1339" s="89"/>
      <c r="X1339" s="89"/>
      <c r="Y1339" s="89"/>
      <c r="Z1339" s="89"/>
      <c r="AA1339" s="89"/>
      <c r="AB1339" s="89"/>
      <c r="AC1339" s="89"/>
      <c r="AD1339" s="89"/>
    </row>
    <row r="1340" spans="18:30" x14ac:dyDescent="0.3">
      <c r="R1340" s="89"/>
      <c r="S1340" s="89"/>
      <c r="T1340" s="89"/>
      <c r="U1340" s="89"/>
      <c r="V1340" s="89"/>
      <c r="W1340" s="89"/>
      <c r="X1340" s="89"/>
      <c r="Y1340" s="89"/>
      <c r="Z1340" s="89"/>
      <c r="AA1340" s="89"/>
      <c r="AB1340" s="89"/>
      <c r="AC1340" s="89"/>
      <c r="AD1340" s="89"/>
    </row>
    <row r="1341" spans="18:30" x14ac:dyDescent="0.3">
      <c r="R1341" s="89"/>
      <c r="S1341" s="89"/>
      <c r="T1341" s="89"/>
      <c r="U1341" s="89"/>
      <c r="V1341" s="89"/>
      <c r="W1341" s="89"/>
      <c r="X1341" s="89"/>
      <c r="Y1341" s="89"/>
      <c r="Z1341" s="89"/>
      <c r="AA1341" s="89"/>
      <c r="AB1341" s="89"/>
      <c r="AC1341" s="89"/>
      <c r="AD1341" s="89"/>
    </row>
    <row r="1342" spans="18:30" x14ac:dyDescent="0.3">
      <c r="R1342" s="89"/>
      <c r="S1342" s="89"/>
      <c r="T1342" s="89"/>
      <c r="U1342" s="89"/>
      <c r="V1342" s="89"/>
      <c r="W1342" s="89"/>
      <c r="X1342" s="89"/>
      <c r="Y1342" s="89"/>
      <c r="Z1342" s="89"/>
      <c r="AA1342" s="89"/>
      <c r="AB1342" s="89"/>
      <c r="AC1342" s="89"/>
      <c r="AD1342" s="89"/>
    </row>
    <row r="1343" spans="18:30" x14ac:dyDescent="0.3">
      <c r="R1343" s="89"/>
      <c r="S1343" s="89"/>
      <c r="T1343" s="89"/>
      <c r="U1343" s="89"/>
      <c r="V1343" s="89"/>
      <c r="W1343" s="89"/>
      <c r="X1343" s="89"/>
      <c r="Y1343" s="89"/>
      <c r="Z1343" s="89"/>
      <c r="AA1343" s="89"/>
      <c r="AB1343" s="89"/>
      <c r="AC1343" s="89"/>
      <c r="AD1343" s="89"/>
    </row>
    <row r="1344" spans="18:30" x14ac:dyDescent="0.3">
      <c r="R1344" s="89"/>
      <c r="S1344" s="89"/>
      <c r="T1344" s="89"/>
      <c r="U1344" s="89"/>
      <c r="V1344" s="89"/>
      <c r="W1344" s="89"/>
      <c r="X1344" s="89"/>
      <c r="Y1344" s="89"/>
      <c r="Z1344" s="89"/>
      <c r="AA1344" s="89"/>
      <c r="AB1344" s="89"/>
      <c r="AC1344" s="89"/>
      <c r="AD1344" s="89"/>
    </row>
    <row r="1345" spans="18:30" x14ac:dyDescent="0.3">
      <c r="R1345" s="89"/>
      <c r="S1345" s="89"/>
      <c r="T1345" s="89"/>
      <c r="U1345" s="89"/>
      <c r="V1345" s="89"/>
      <c r="W1345" s="89"/>
      <c r="X1345" s="89"/>
      <c r="Y1345" s="89"/>
      <c r="Z1345" s="89"/>
      <c r="AA1345" s="89"/>
      <c r="AB1345" s="89"/>
      <c r="AC1345" s="89"/>
      <c r="AD1345" s="89"/>
    </row>
    <row r="1346" spans="18:30" x14ac:dyDescent="0.3">
      <c r="R1346" s="89"/>
      <c r="S1346" s="89"/>
      <c r="T1346" s="89"/>
      <c r="U1346" s="89"/>
      <c r="V1346" s="89"/>
      <c r="W1346" s="89"/>
      <c r="X1346" s="89"/>
      <c r="Y1346" s="89"/>
      <c r="Z1346" s="89"/>
      <c r="AA1346" s="89"/>
      <c r="AB1346" s="89"/>
      <c r="AC1346" s="89"/>
      <c r="AD1346" s="89"/>
    </row>
    <row r="1347" spans="18:30" x14ac:dyDescent="0.3">
      <c r="R1347" s="89"/>
      <c r="S1347" s="89"/>
      <c r="T1347" s="89"/>
      <c r="U1347" s="89"/>
      <c r="V1347" s="89"/>
      <c r="W1347" s="89"/>
      <c r="X1347" s="89"/>
      <c r="Y1347" s="89"/>
      <c r="Z1347" s="89"/>
      <c r="AA1347" s="89"/>
      <c r="AB1347" s="89"/>
      <c r="AC1347" s="89"/>
      <c r="AD1347" s="89"/>
    </row>
    <row r="1348" spans="18:30" x14ac:dyDescent="0.3">
      <c r="R1348" s="89"/>
      <c r="S1348" s="89"/>
      <c r="T1348" s="89"/>
      <c r="U1348" s="89"/>
      <c r="V1348" s="89"/>
      <c r="W1348" s="89"/>
      <c r="X1348" s="89"/>
      <c r="Y1348" s="89"/>
      <c r="Z1348" s="89"/>
      <c r="AA1348" s="89"/>
      <c r="AB1348" s="89"/>
      <c r="AC1348" s="89"/>
      <c r="AD1348" s="89"/>
    </row>
    <row r="1349" spans="18:30" x14ac:dyDescent="0.3">
      <c r="R1349" s="89"/>
      <c r="S1349" s="89"/>
      <c r="T1349" s="89"/>
      <c r="U1349" s="89"/>
      <c r="V1349" s="89"/>
      <c r="W1349" s="89"/>
      <c r="X1349" s="89"/>
      <c r="Y1349" s="89"/>
      <c r="Z1349" s="89"/>
      <c r="AA1349" s="89"/>
      <c r="AB1349" s="89"/>
      <c r="AC1349" s="89"/>
      <c r="AD1349" s="89"/>
    </row>
    <row r="1350" spans="18:30" x14ac:dyDescent="0.3">
      <c r="R1350" s="89"/>
      <c r="S1350" s="89"/>
      <c r="T1350" s="89"/>
      <c r="U1350" s="89"/>
      <c r="V1350" s="89"/>
      <c r="W1350" s="89"/>
      <c r="X1350" s="89"/>
      <c r="Y1350" s="89"/>
      <c r="Z1350" s="89"/>
      <c r="AA1350" s="89"/>
      <c r="AB1350" s="89"/>
      <c r="AC1350" s="89"/>
      <c r="AD1350" s="89"/>
    </row>
    <row r="1351" spans="18:30" x14ac:dyDescent="0.3">
      <c r="R1351" s="89"/>
      <c r="S1351" s="89"/>
      <c r="T1351" s="89"/>
      <c r="U1351" s="89"/>
      <c r="V1351" s="89"/>
      <c r="W1351" s="89"/>
      <c r="X1351" s="89"/>
      <c r="Y1351" s="89"/>
      <c r="Z1351" s="89"/>
      <c r="AA1351" s="89"/>
      <c r="AB1351" s="89"/>
      <c r="AC1351" s="89"/>
      <c r="AD1351" s="89"/>
    </row>
    <row r="1352" spans="18:30" x14ac:dyDescent="0.3">
      <c r="R1352" s="89"/>
      <c r="S1352" s="89"/>
      <c r="T1352" s="89"/>
      <c r="U1352" s="89"/>
      <c r="V1352" s="89"/>
      <c r="W1352" s="89"/>
      <c r="X1352" s="89"/>
      <c r="Y1352" s="89"/>
      <c r="Z1352" s="89"/>
      <c r="AA1352" s="89"/>
      <c r="AB1352" s="89"/>
      <c r="AC1352" s="89"/>
      <c r="AD1352" s="89"/>
    </row>
    <row r="1353" spans="18:30" x14ac:dyDescent="0.3">
      <c r="R1353" s="89"/>
      <c r="S1353" s="89"/>
      <c r="T1353" s="89"/>
      <c r="U1353" s="89"/>
      <c r="V1353" s="89"/>
      <c r="W1353" s="89"/>
      <c r="X1353" s="89"/>
      <c r="Y1353" s="89"/>
      <c r="Z1353" s="89"/>
      <c r="AA1353" s="89"/>
      <c r="AB1353" s="89"/>
      <c r="AC1353" s="89"/>
      <c r="AD1353" s="89"/>
    </row>
    <row r="1354" spans="18:30" x14ac:dyDescent="0.3">
      <c r="R1354" s="89"/>
      <c r="S1354" s="89"/>
      <c r="T1354" s="89"/>
      <c r="U1354" s="89"/>
      <c r="V1354" s="89"/>
      <c r="W1354" s="89"/>
      <c r="X1354" s="89"/>
      <c r="Y1354" s="89"/>
      <c r="Z1354" s="89"/>
      <c r="AA1354" s="89"/>
      <c r="AB1354" s="89"/>
      <c r="AC1354" s="89"/>
      <c r="AD1354" s="89"/>
    </row>
    <row r="1355" spans="18:30" x14ac:dyDescent="0.3">
      <c r="R1355" s="89"/>
      <c r="S1355" s="89"/>
      <c r="T1355" s="89"/>
      <c r="U1355" s="89"/>
      <c r="V1355" s="89"/>
      <c r="W1355" s="89"/>
      <c r="X1355" s="89"/>
      <c r="Y1355" s="89"/>
      <c r="Z1355" s="89"/>
      <c r="AA1355" s="89"/>
      <c r="AB1355" s="89"/>
      <c r="AC1355" s="89"/>
      <c r="AD1355" s="89"/>
    </row>
    <row r="1356" spans="18:30" x14ac:dyDescent="0.3">
      <c r="R1356" s="89"/>
      <c r="S1356" s="89"/>
      <c r="T1356" s="89"/>
      <c r="U1356" s="89"/>
      <c r="V1356" s="89"/>
      <c r="W1356" s="89"/>
      <c r="X1356" s="89"/>
      <c r="Y1356" s="89"/>
      <c r="Z1356" s="89"/>
      <c r="AA1356" s="89"/>
      <c r="AB1356" s="89"/>
      <c r="AC1356" s="89"/>
      <c r="AD1356" s="89"/>
    </row>
    <row r="1357" spans="18:30" x14ac:dyDescent="0.3">
      <c r="R1357" s="89"/>
      <c r="S1357" s="89"/>
      <c r="T1357" s="89"/>
      <c r="U1357" s="89"/>
      <c r="V1357" s="89"/>
      <c r="W1357" s="89"/>
      <c r="X1357" s="89"/>
      <c r="Y1357" s="89"/>
      <c r="Z1357" s="89"/>
      <c r="AA1357" s="89"/>
      <c r="AB1357" s="89"/>
      <c r="AC1357" s="89"/>
      <c r="AD1357" s="89"/>
    </row>
    <row r="1358" spans="18:30" x14ac:dyDescent="0.3">
      <c r="R1358" s="89"/>
      <c r="S1358" s="89"/>
      <c r="T1358" s="89"/>
      <c r="U1358" s="89"/>
      <c r="V1358" s="89"/>
      <c r="W1358" s="89"/>
      <c r="X1358" s="89"/>
      <c r="Y1358" s="89"/>
      <c r="Z1358" s="89"/>
      <c r="AA1358" s="89"/>
      <c r="AB1358" s="89"/>
      <c r="AC1358" s="89"/>
      <c r="AD1358" s="89"/>
    </row>
    <row r="1359" spans="18:30" x14ac:dyDescent="0.3">
      <c r="R1359" s="89"/>
      <c r="S1359" s="89"/>
      <c r="T1359" s="89"/>
      <c r="U1359" s="89"/>
      <c r="V1359" s="89"/>
      <c r="W1359" s="89"/>
      <c r="X1359" s="89"/>
      <c r="Y1359" s="89"/>
      <c r="Z1359" s="89"/>
      <c r="AA1359" s="89"/>
      <c r="AB1359" s="89"/>
      <c r="AC1359" s="89"/>
      <c r="AD1359" s="89"/>
    </row>
    <row r="1360" spans="18:30" x14ac:dyDescent="0.3">
      <c r="R1360" s="89"/>
      <c r="S1360" s="89"/>
      <c r="T1360" s="89"/>
      <c r="U1360" s="89"/>
      <c r="V1360" s="89"/>
      <c r="W1360" s="89"/>
      <c r="X1360" s="89"/>
      <c r="Y1360" s="89"/>
      <c r="Z1360" s="89"/>
      <c r="AA1360" s="89"/>
      <c r="AB1360" s="89"/>
      <c r="AC1360" s="89"/>
      <c r="AD1360" s="89"/>
    </row>
    <row r="1361" spans="18:30" x14ac:dyDescent="0.3">
      <c r="R1361" s="89"/>
      <c r="S1361" s="89"/>
      <c r="T1361" s="89"/>
      <c r="U1361" s="89"/>
      <c r="V1361" s="89"/>
      <c r="W1361" s="89"/>
      <c r="X1361" s="89"/>
      <c r="Y1361" s="89"/>
      <c r="Z1361" s="89"/>
      <c r="AA1361" s="89"/>
      <c r="AB1361" s="89"/>
      <c r="AC1361" s="89"/>
      <c r="AD1361" s="89"/>
    </row>
    <row r="1362" spans="18:30" x14ac:dyDescent="0.3">
      <c r="R1362" s="89"/>
      <c r="S1362" s="89"/>
      <c r="T1362" s="89"/>
      <c r="U1362" s="89"/>
      <c r="V1362" s="89"/>
      <c r="W1362" s="89"/>
      <c r="X1362" s="89"/>
      <c r="Y1362" s="89"/>
      <c r="Z1362" s="89"/>
      <c r="AA1362" s="89"/>
      <c r="AB1362" s="89"/>
      <c r="AC1362" s="89"/>
      <c r="AD1362" s="89"/>
    </row>
    <row r="1363" spans="18:30" x14ac:dyDescent="0.3">
      <c r="R1363" s="89"/>
      <c r="S1363" s="89"/>
      <c r="T1363" s="89"/>
      <c r="U1363" s="89"/>
      <c r="V1363" s="89"/>
      <c r="W1363" s="89"/>
      <c r="X1363" s="89"/>
      <c r="Y1363" s="89"/>
      <c r="Z1363" s="89"/>
      <c r="AA1363" s="89"/>
      <c r="AB1363" s="89"/>
      <c r="AC1363" s="89"/>
      <c r="AD1363" s="89"/>
    </row>
    <row r="1364" spans="18:30" x14ac:dyDescent="0.3">
      <c r="R1364" s="89"/>
      <c r="S1364" s="89"/>
      <c r="T1364" s="89"/>
      <c r="U1364" s="89"/>
      <c r="V1364" s="89"/>
      <c r="W1364" s="89"/>
      <c r="X1364" s="89"/>
      <c r="Y1364" s="89"/>
      <c r="Z1364" s="89"/>
      <c r="AA1364" s="89"/>
      <c r="AB1364" s="89"/>
      <c r="AC1364" s="89"/>
      <c r="AD1364" s="89"/>
    </row>
    <row r="1365" spans="18:30" x14ac:dyDescent="0.3">
      <c r="R1365" s="89"/>
      <c r="S1365" s="89"/>
      <c r="T1365" s="89"/>
      <c r="U1365" s="89"/>
      <c r="V1365" s="89"/>
      <c r="W1365" s="89"/>
      <c r="X1365" s="89"/>
      <c r="Y1365" s="89"/>
      <c r="Z1365" s="89"/>
      <c r="AA1365" s="89"/>
      <c r="AB1365" s="89"/>
      <c r="AC1365" s="89"/>
      <c r="AD1365" s="89"/>
    </row>
    <row r="1366" spans="18:30" x14ac:dyDescent="0.3">
      <c r="R1366" s="89"/>
      <c r="S1366" s="89"/>
      <c r="T1366" s="89"/>
      <c r="U1366" s="89"/>
      <c r="V1366" s="89"/>
      <c r="W1366" s="89"/>
      <c r="X1366" s="89"/>
      <c r="Y1366" s="89"/>
      <c r="Z1366" s="89"/>
      <c r="AA1366" s="89"/>
      <c r="AB1366" s="89"/>
      <c r="AC1366" s="89"/>
      <c r="AD1366" s="89"/>
    </row>
    <row r="1367" spans="18:30" x14ac:dyDescent="0.3">
      <c r="R1367" s="89"/>
      <c r="S1367" s="89"/>
      <c r="T1367" s="89"/>
      <c r="U1367" s="89"/>
      <c r="V1367" s="89"/>
      <c r="W1367" s="89"/>
      <c r="X1367" s="89"/>
      <c r="Y1367" s="89"/>
      <c r="Z1367" s="89"/>
      <c r="AA1367" s="89"/>
      <c r="AB1367" s="89"/>
      <c r="AC1367" s="89"/>
      <c r="AD1367" s="89"/>
    </row>
    <row r="1368" spans="18:30" x14ac:dyDescent="0.3">
      <c r="R1368" s="89"/>
      <c r="S1368" s="89"/>
      <c r="T1368" s="89"/>
      <c r="U1368" s="89"/>
      <c r="V1368" s="89"/>
      <c r="W1368" s="89"/>
      <c r="X1368" s="89"/>
      <c r="Y1368" s="89"/>
      <c r="Z1368" s="89"/>
      <c r="AA1368" s="89"/>
      <c r="AB1368" s="89"/>
      <c r="AC1368" s="89"/>
      <c r="AD1368" s="89"/>
    </row>
    <row r="1369" spans="18:30" x14ac:dyDescent="0.3">
      <c r="R1369" s="89"/>
      <c r="S1369" s="89"/>
      <c r="T1369" s="89"/>
      <c r="U1369" s="89"/>
      <c r="V1369" s="89"/>
      <c r="W1369" s="89"/>
      <c r="X1369" s="89"/>
      <c r="Y1369" s="89"/>
      <c r="Z1369" s="89"/>
      <c r="AA1369" s="89"/>
      <c r="AB1369" s="89"/>
      <c r="AC1369" s="89"/>
      <c r="AD1369" s="89"/>
    </row>
    <row r="1370" spans="18:30" x14ac:dyDescent="0.3">
      <c r="R1370" s="89"/>
      <c r="S1370" s="89"/>
      <c r="T1370" s="89"/>
      <c r="U1370" s="89"/>
      <c r="V1370" s="89"/>
      <c r="W1370" s="89"/>
      <c r="X1370" s="89"/>
      <c r="Y1370" s="89"/>
      <c r="Z1370" s="89"/>
      <c r="AA1370" s="89"/>
      <c r="AB1370" s="89"/>
      <c r="AC1370" s="89"/>
      <c r="AD1370" s="89"/>
    </row>
    <row r="1371" spans="18:30" x14ac:dyDescent="0.3">
      <c r="R1371" s="89"/>
      <c r="S1371" s="89"/>
      <c r="T1371" s="89"/>
      <c r="U1371" s="89"/>
      <c r="V1371" s="89"/>
      <c r="W1371" s="89"/>
      <c r="X1371" s="89"/>
      <c r="Y1371" s="89"/>
      <c r="Z1371" s="89"/>
      <c r="AA1371" s="89"/>
      <c r="AB1371" s="89"/>
      <c r="AC1371" s="89"/>
      <c r="AD1371" s="89"/>
    </row>
    <row r="1372" spans="18:30" x14ac:dyDescent="0.3">
      <c r="R1372" s="89"/>
      <c r="S1372" s="89"/>
      <c r="T1372" s="89"/>
      <c r="U1372" s="89"/>
      <c r="V1372" s="89"/>
      <c r="W1372" s="89"/>
      <c r="X1372" s="89"/>
      <c r="Y1372" s="89"/>
      <c r="Z1372" s="89"/>
      <c r="AA1372" s="89"/>
      <c r="AB1372" s="89"/>
      <c r="AC1372" s="89"/>
      <c r="AD1372" s="89"/>
    </row>
    <row r="1373" spans="18:30" x14ac:dyDescent="0.3">
      <c r="R1373" s="89"/>
      <c r="S1373" s="89"/>
      <c r="T1373" s="89"/>
      <c r="U1373" s="89"/>
      <c r="V1373" s="89"/>
      <c r="W1373" s="89"/>
      <c r="X1373" s="89"/>
      <c r="Y1373" s="89"/>
      <c r="Z1373" s="89"/>
      <c r="AA1373" s="89"/>
      <c r="AB1373" s="89"/>
      <c r="AC1373" s="89"/>
      <c r="AD1373" s="89"/>
    </row>
    <row r="1374" spans="18:30" x14ac:dyDescent="0.3">
      <c r="R1374" s="89"/>
      <c r="S1374" s="89"/>
      <c r="T1374" s="89"/>
      <c r="U1374" s="89"/>
      <c r="V1374" s="89"/>
      <c r="W1374" s="89"/>
      <c r="X1374" s="89"/>
      <c r="Y1374" s="89"/>
      <c r="Z1374" s="89"/>
      <c r="AA1374" s="89"/>
      <c r="AB1374" s="89"/>
      <c r="AC1374" s="89"/>
      <c r="AD1374" s="89"/>
    </row>
    <row r="1375" spans="18:30" x14ac:dyDescent="0.3">
      <c r="R1375" s="89"/>
      <c r="S1375" s="89"/>
      <c r="T1375" s="89"/>
      <c r="U1375" s="89"/>
      <c r="V1375" s="89"/>
      <c r="W1375" s="89"/>
      <c r="X1375" s="89"/>
      <c r="Y1375" s="89"/>
      <c r="Z1375" s="89"/>
      <c r="AA1375" s="89"/>
      <c r="AB1375" s="89"/>
      <c r="AC1375" s="89"/>
      <c r="AD1375" s="89"/>
    </row>
    <row r="1376" spans="18:30" x14ac:dyDescent="0.3">
      <c r="R1376" s="89"/>
      <c r="S1376" s="89"/>
      <c r="T1376" s="89"/>
      <c r="U1376" s="89"/>
      <c r="V1376" s="89"/>
      <c r="W1376" s="89"/>
      <c r="X1376" s="89"/>
      <c r="Y1376" s="89"/>
      <c r="Z1376" s="89"/>
      <c r="AA1376" s="89"/>
      <c r="AB1376" s="89"/>
      <c r="AC1376" s="89"/>
      <c r="AD1376" s="89"/>
    </row>
    <row r="1377" spans="18:30" x14ac:dyDescent="0.3">
      <c r="R1377" s="89"/>
      <c r="S1377" s="89"/>
      <c r="T1377" s="89"/>
      <c r="U1377" s="89"/>
      <c r="V1377" s="89"/>
      <c r="W1377" s="89"/>
      <c r="X1377" s="89"/>
      <c r="Y1377" s="89"/>
      <c r="Z1377" s="89"/>
      <c r="AA1377" s="89"/>
      <c r="AB1377" s="89"/>
      <c r="AC1377" s="89"/>
      <c r="AD1377" s="89"/>
    </row>
    <row r="1378" spans="18:30" x14ac:dyDescent="0.3">
      <c r="R1378" s="89"/>
      <c r="S1378" s="89"/>
      <c r="T1378" s="89"/>
      <c r="U1378" s="89"/>
      <c r="V1378" s="89"/>
      <c r="W1378" s="89"/>
      <c r="X1378" s="89"/>
      <c r="Y1378" s="89"/>
      <c r="Z1378" s="89"/>
      <c r="AA1378" s="89"/>
      <c r="AB1378" s="89"/>
      <c r="AC1378" s="89"/>
      <c r="AD1378" s="89"/>
    </row>
    <row r="1379" spans="18:30" x14ac:dyDescent="0.3">
      <c r="R1379" s="89"/>
      <c r="S1379" s="89"/>
      <c r="T1379" s="89"/>
      <c r="U1379" s="89"/>
      <c r="V1379" s="89"/>
      <c r="W1379" s="89"/>
      <c r="X1379" s="89"/>
      <c r="Y1379" s="89"/>
      <c r="Z1379" s="89"/>
      <c r="AA1379" s="89"/>
      <c r="AB1379" s="89"/>
      <c r="AC1379" s="89"/>
      <c r="AD1379" s="89"/>
    </row>
    <row r="1380" spans="18:30" x14ac:dyDescent="0.3">
      <c r="R1380" s="89"/>
      <c r="S1380" s="89"/>
      <c r="T1380" s="89"/>
      <c r="U1380" s="89"/>
      <c r="V1380" s="89"/>
      <c r="W1380" s="89"/>
      <c r="X1380" s="89"/>
      <c r="Y1380" s="89"/>
      <c r="Z1380" s="89"/>
      <c r="AA1380" s="89"/>
      <c r="AB1380" s="89"/>
      <c r="AC1380" s="89"/>
      <c r="AD1380" s="89"/>
    </row>
    <row r="1381" spans="18:30" x14ac:dyDescent="0.3">
      <c r="R1381" s="89"/>
      <c r="S1381" s="89"/>
      <c r="T1381" s="89"/>
      <c r="U1381" s="89"/>
      <c r="V1381" s="89"/>
      <c r="W1381" s="89"/>
      <c r="X1381" s="89"/>
      <c r="Y1381" s="89"/>
      <c r="Z1381" s="89"/>
      <c r="AA1381" s="89"/>
      <c r="AB1381" s="89"/>
      <c r="AC1381" s="89"/>
      <c r="AD1381" s="89"/>
    </row>
    <row r="1382" spans="18:30" x14ac:dyDescent="0.3">
      <c r="R1382" s="89"/>
      <c r="S1382" s="89"/>
      <c r="T1382" s="89"/>
      <c r="U1382" s="89"/>
      <c r="V1382" s="89"/>
      <c r="W1382" s="89"/>
      <c r="X1382" s="89"/>
      <c r="Y1382" s="89"/>
      <c r="Z1382" s="89"/>
      <c r="AA1382" s="89"/>
      <c r="AB1382" s="89"/>
      <c r="AC1382" s="89"/>
      <c r="AD1382" s="89"/>
    </row>
    <row r="1383" spans="18:30" x14ac:dyDescent="0.3">
      <c r="R1383" s="89"/>
      <c r="S1383" s="89"/>
      <c r="T1383" s="89"/>
      <c r="U1383" s="89"/>
      <c r="V1383" s="89"/>
      <c r="W1383" s="89"/>
      <c r="X1383" s="89"/>
      <c r="Y1383" s="89"/>
      <c r="Z1383" s="89"/>
      <c r="AA1383" s="89"/>
      <c r="AB1383" s="89"/>
      <c r="AC1383" s="89"/>
      <c r="AD1383" s="89"/>
    </row>
    <row r="1384" spans="18:30" x14ac:dyDescent="0.3">
      <c r="R1384" s="89"/>
      <c r="S1384" s="89"/>
      <c r="T1384" s="89"/>
      <c r="U1384" s="89"/>
      <c r="V1384" s="89"/>
      <c r="W1384" s="89"/>
      <c r="X1384" s="89"/>
      <c r="Y1384" s="89"/>
      <c r="Z1384" s="89"/>
      <c r="AA1384" s="89"/>
      <c r="AB1384" s="89"/>
      <c r="AC1384" s="89"/>
      <c r="AD1384" s="89"/>
    </row>
    <row r="1385" spans="18:30" x14ac:dyDescent="0.3">
      <c r="R1385" s="89"/>
      <c r="S1385" s="89"/>
      <c r="T1385" s="89"/>
      <c r="U1385" s="89"/>
      <c r="V1385" s="89"/>
      <c r="W1385" s="89"/>
      <c r="X1385" s="89"/>
      <c r="Y1385" s="89"/>
      <c r="Z1385" s="89"/>
      <c r="AA1385" s="89"/>
      <c r="AB1385" s="89"/>
      <c r="AC1385" s="89"/>
      <c r="AD1385" s="89"/>
    </row>
    <row r="1386" spans="18:30" x14ac:dyDescent="0.3">
      <c r="R1386" s="89"/>
      <c r="S1386" s="89"/>
      <c r="T1386" s="89"/>
      <c r="U1386" s="89"/>
      <c r="V1386" s="89"/>
      <c r="W1386" s="89"/>
      <c r="X1386" s="89"/>
      <c r="Y1386" s="89"/>
      <c r="Z1386" s="89"/>
      <c r="AA1386" s="89"/>
      <c r="AB1386" s="89"/>
      <c r="AC1386" s="89"/>
      <c r="AD1386" s="89"/>
    </row>
    <row r="1387" spans="18:30" x14ac:dyDescent="0.3">
      <c r="R1387" s="89"/>
      <c r="S1387" s="89"/>
      <c r="T1387" s="89"/>
      <c r="U1387" s="89"/>
      <c r="V1387" s="89"/>
      <c r="W1387" s="89"/>
      <c r="X1387" s="89"/>
      <c r="Y1387" s="89"/>
      <c r="Z1387" s="89"/>
      <c r="AA1387" s="89"/>
      <c r="AB1387" s="89"/>
      <c r="AC1387" s="89"/>
      <c r="AD1387" s="89"/>
    </row>
    <row r="1388" spans="18:30" x14ac:dyDescent="0.3">
      <c r="R1388" s="89"/>
      <c r="S1388" s="89"/>
      <c r="T1388" s="89"/>
      <c r="U1388" s="89"/>
      <c r="V1388" s="89"/>
      <c r="W1388" s="89"/>
      <c r="X1388" s="89"/>
      <c r="Y1388" s="89"/>
      <c r="Z1388" s="89"/>
      <c r="AA1388" s="89"/>
      <c r="AB1388" s="89"/>
      <c r="AC1388" s="89"/>
      <c r="AD1388" s="89"/>
    </row>
    <row r="1389" spans="18:30" x14ac:dyDescent="0.3">
      <c r="R1389" s="89"/>
      <c r="S1389" s="89"/>
      <c r="T1389" s="89"/>
      <c r="U1389" s="89"/>
      <c r="V1389" s="89"/>
      <c r="W1389" s="89"/>
      <c r="X1389" s="89"/>
      <c r="Y1389" s="89"/>
      <c r="Z1389" s="89"/>
      <c r="AA1389" s="89"/>
      <c r="AB1389" s="89"/>
      <c r="AC1389" s="89"/>
      <c r="AD1389" s="89"/>
    </row>
    <row r="1390" spans="18:30" x14ac:dyDescent="0.3">
      <c r="R1390" s="89"/>
      <c r="S1390" s="89"/>
      <c r="T1390" s="89"/>
      <c r="U1390" s="89"/>
      <c r="V1390" s="89"/>
      <c r="W1390" s="89"/>
      <c r="X1390" s="89"/>
      <c r="Y1390" s="89"/>
      <c r="Z1390" s="89"/>
      <c r="AA1390" s="89"/>
      <c r="AB1390" s="89"/>
      <c r="AC1390" s="89"/>
      <c r="AD1390" s="89"/>
    </row>
    <row r="1391" spans="18:30" x14ac:dyDescent="0.3">
      <c r="R1391" s="89"/>
      <c r="S1391" s="89"/>
      <c r="T1391" s="89"/>
      <c r="U1391" s="89"/>
      <c r="V1391" s="89"/>
      <c r="W1391" s="89"/>
      <c r="X1391" s="89"/>
      <c r="Y1391" s="89"/>
      <c r="Z1391" s="89"/>
      <c r="AA1391" s="89"/>
      <c r="AB1391" s="89"/>
      <c r="AC1391" s="89"/>
      <c r="AD1391" s="89"/>
    </row>
    <row r="1392" spans="18:30" x14ac:dyDescent="0.3">
      <c r="R1392" s="89"/>
      <c r="S1392" s="89"/>
      <c r="T1392" s="89"/>
      <c r="U1392" s="89"/>
      <c r="V1392" s="89"/>
      <c r="W1392" s="89"/>
      <c r="X1392" s="89"/>
      <c r="Y1392" s="89"/>
      <c r="Z1392" s="89"/>
      <c r="AA1392" s="89"/>
      <c r="AB1392" s="89"/>
      <c r="AC1392" s="89"/>
      <c r="AD1392" s="89"/>
    </row>
    <row r="1393" spans="18:30" x14ac:dyDescent="0.3">
      <c r="R1393" s="89"/>
      <c r="S1393" s="89"/>
      <c r="T1393" s="89"/>
      <c r="U1393" s="89"/>
      <c r="V1393" s="89"/>
      <c r="W1393" s="89"/>
      <c r="X1393" s="89"/>
      <c r="Y1393" s="89"/>
      <c r="Z1393" s="89"/>
      <c r="AA1393" s="89"/>
      <c r="AB1393" s="89"/>
      <c r="AC1393" s="89"/>
      <c r="AD1393" s="89"/>
    </row>
    <row r="1394" spans="18:30" x14ac:dyDescent="0.3">
      <c r="R1394" s="89"/>
      <c r="S1394" s="89"/>
      <c r="T1394" s="89"/>
      <c r="U1394" s="89"/>
      <c r="V1394" s="89"/>
      <c r="W1394" s="89"/>
      <c r="X1394" s="89"/>
      <c r="Y1394" s="89"/>
      <c r="Z1394" s="89"/>
      <c r="AA1394" s="89"/>
      <c r="AB1394" s="89"/>
      <c r="AC1394" s="89"/>
      <c r="AD1394" s="89"/>
    </row>
    <row r="1395" spans="18:30" x14ac:dyDescent="0.3">
      <c r="R1395" s="89"/>
      <c r="S1395" s="89"/>
      <c r="T1395" s="89"/>
      <c r="U1395" s="89"/>
      <c r="V1395" s="89"/>
      <c r="W1395" s="89"/>
      <c r="X1395" s="89"/>
      <c r="Y1395" s="89"/>
      <c r="Z1395" s="89"/>
      <c r="AA1395" s="89"/>
      <c r="AB1395" s="89"/>
      <c r="AC1395" s="89"/>
      <c r="AD1395" s="89"/>
    </row>
    <row r="1396" spans="18:30" x14ac:dyDescent="0.3">
      <c r="R1396" s="89"/>
      <c r="S1396" s="89"/>
      <c r="T1396" s="89"/>
      <c r="U1396" s="89"/>
      <c r="V1396" s="89"/>
      <c r="W1396" s="89"/>
      <c r="X1396" s="89"/>
      <c r="Y1396" s="89"/>
      <c r="Z1396" s="89"/>
      <c r="AA1396" s="89"/>
      <c r="AB1396" s="89"/>
      <c r="AC1396" s="89"/>
      <c r="AD1396" s="89"/>
    </row>
    <row r="1397" spans="18:30" x14ac:dyDescent="0.3">
      <c r="R1397" s="89"/>
      <c r="S1397" s="89"/>
      <c r="T1397" s="89"/>
      <c r="U1397" s="89"/>
      <c r="V1397" s="89"/>
      <c r="W1397" s="89"/>
      <c r="X1397" s="89"/>
      <c r="Y1397" s="89"/>
      <c r="Z1397" s="89"/>
      <c r="AA1397" s="89"/>
      <c r="AB1397" s="89"/>
      <c r="AC1397" s="89"/>
      <c r="AD1397" s="89"/>
    </row>
    <row r="1398" spans="18:30" x14ac:dyDescent="0.3">
      <c r="R1398" s="89"/>
      <c r="S1398" s="89"/>
      <c r="T1398" s="89"/>
      <c r="U1398" s="89"/>
      <c r="V1398" s="89"/>
      <c r="W1398" s="89"/>
      <c r="X1398" s="89"/>
      <c r="Y1398" s="89"/>
      <c r="Z1398" s="89"/>
      <c r="AA1398" s="89"/>
      <c r="AB1398" s="89"/>
      <c r="AC1398" s="89"/>
      <c r="AD1398" s="89"/>
    </row>
    <row r="1399" spans="18:30" x14ac:dyDescent="0.3">
      <c r="R1399" s="89"/>
      <c r="S1399" s="89"/>
      <c r="T1399" s="89"/>
      <c r="U1399" s="89"/>
      <c r="V1399" s="89"/>
      <c r="W1399" s="89"/>
      <c r="X1399" s="89"/>
      <c r="Y1399" s="89"/>
      <c r="Z1399" s="89"/>
      <c r="AA1399" s="89"/>
      <c r="AB1399" s="89"/>
      <c r="AC1399" s="89"/>
      <c r="AD1399" s="89"/>
    </row>
    <row r="1400" spans="18:30" x14ac:dyDescent="0.3">
      <c r="R1400" s="89"/>
      <c r="S1400" s="89"/>
      <c r="T1400" s="89"/>
      <c r="U1400" s="89"/>
      <c r="V1400" s="89"/>
      <c r="W1400" s="89"/>
      <c r="X1400" s="89"/>
      <c r="Y1400" s="89"/>
      <c r="Z1400" s="89"/>
      <c r="AA1400" s="89"/>
      <c r="AB1400" s="89"/>
      <c r="AC1400" s="89"/>
      <c r="AD1400" s="89"/>
    </row>
    <row r="1401" spans="18:30" x14ac:dyDescent="0.3">
      <c r="R1401" s="89"/>
      <c r="S1401" s="89"/>
      <c r="T1401" s="89"/>
      <c r="U1401" s="89"/>
      <c r="V1401" s="89"/>
      <c r="W1401" s="89"/>
      <c r="X1401" s="89"/>
      <c r="Y1401" s="89"/>
      <c r="Z1401" s="89"/>
      <c r="AA1401" s="89"/>
      <c r="AB1401" s="89"/>
      <c r="AC1401" s="89"/>
      <c r="AD1401" s="89"/>
    </row>
    <row r="1402" spans="18:30" x14ac:dyDescent="0.3">
      <c r="R1402" s="89"/>
      <c r="S1402" s="89"/>
      <c r="T1402" s="89"/>
      <c r="U1402" s="89"/>
      <c r="V1402" s="89"/>
      <c r="W1402" s="89"/>
      <c r="X1402" s="89"/>
      <c r="Y1402" s="89"/>
      <c r="Z1402" s="89"/>
      <c r="AA1402" s="89"/>
      <c r="AB1402" s="89"/>
      <c r="AC1402" s="89"/>
      <c r="AD1402" s="89"/>
    </row>
    <row r="1403" spans="18:30" x14ac:dyDescent="0.3">
      <c r="R1403" s="89"/>
      <c r="S1403" s="89"/>
      <c r="T1403" s="89"/>
      <c r="U1403" s="89"/>
      <c r="V1403" s="89"/>
      <c r="W1403" s="89"/>
      <c r="X1403" s="89"/>
      <c r="Y1403" s="89"/>
      <c r="Z1403" s="89"/>
      <c r="AA1403" s="89"/>
      <c r="AB1403" s="89"/>
      <c r="AC1403" s="89"/>
      <c r="AD1403" s="89"/>
    </row>
    <row r="1404" spans="18:30" x14ac:dyDescent="0.3">
      <c r="R1404" s="89"/>
      <c r="S1404" s="89"/>
      <c r="T1404" s="89"/>
      <c r="U1404" s="89"/>
      <c r="V1404" s="89"/>
      <c r="W1404" s="89"/>
      <c r="X1404" s="89"/>
      <c r="Y1404" s="89"/>
      <c r="Z1404" s="89"/>
      <c r="AA1404" s="89"/>
      <c r="AB1404" s="89"/>
      <c r="AC1404" s="89"/>
      <c r="AD1404" s="89"/>
    </row>
    <row r="1405" spans="18:30" x14ac:dyDescent="0.3">
      <c r="R1405" s="89"/>
      <c r="S1405" s="89"/>
      <c r="T1405" s="89"/>
      <c r="U1405" s="89"/>
      <c r="V1405" s="89"/>
      <c r="W1405" s="89"/>
      <c r="X1405" s="89"/>
      <c r="Y1405" s="89"/>
      <c r="Z1405" s="89"/>
      <c r="AA1405" s="89"/>
      <c r="AB1405" s="89"/>
      <c r="AC1405" s="89"/>
      <c r="AD1405" s="89"/>
    </row>
    <row r="1406" spans="18:30" x14ac:dyDescent="0.3">
      <c r="R1406" s="89"/>
      <c r="S1406" s="89"/>
      <c r="T1406" s="89"/>
      <c r="U1406" s="89"/>
      <c r="V1406" s="89"/>
      <c r="W1406" s="89"/>
      <c r="X1406" s="89"/>
      <c r="Y1406" s="89"/>
      <c r="Z1406" s="89"/>
      <c r="AA1406" s="89"/>
      <c r="AB1406" s="89"/>
      <c r="AC1406" s="89"/>
      <c r="AD1406" s="89"/>
    </row>
    <row r="1407" spans="18:30" x14ac:dyDescent="0.3">
      <c r="R1407" s="89"/>
      <c r="S1407" s="89"/>
      <c r="T1407" s="89"/>
      <c r="U1407" s="89"/>
      <c r="V1407" s="89"/>
      <c r="W1407" s="89"/>
      <c r="X1407" s="89"/>
      <c r="Y1407" s="89"/>
      <c r="Z1407" s="89"/>
      <c r="AA1407" s="89"/>
      <c r="AB1407" s="89"/>
      <c r="AC1407" s="89"/>
      <c r="AD1407" s="89"/>
    </row>
    <row r="1408" spans="18:30" x14ac:dyDescent="0.3">
      <c r="R1408" s="89"/>
      <c r="S1408" s="89"/>
      <c r="T1408" s="89"/>
      <c r="U1408" s="89"/>
      <c r="V1408" s="89"/>
      <c r="W1408" s="89"/>
      <c r="X1408" s="89"/>
      <c r="Y1408" s="89"/>
      <c r="Z1408" s="89"/>
      <c r="AA1408" s="89"/>
      <c r="AB1408" s="89"/>
      <c r="AC1408" s="89"/>
      <c r="AD1408" s="89"/>
    </row>
    <row r="1409" spans="18:30" x14ac:dyDescent="0.3">
      <c r="R1409" s="89"/>
      <c r="S1409" s="89"/>
      <c r="T1409" s="89"/>
      <c r="U1409" s="89"/>
      <c r="V1409" s="89"/>
      <c r="W1409" s="89"/>
      <c r="X1409" s="89"/>
      <c r="Y1409" s="89"/>
      <c r="Z1409" s="89"/>
      <c r="AA1409" s="89"/>
      <c r="AB1409" s="89"/>
      <c r="AC1409" s="89"/>
      <c r="AD1409" s="89"/>
    </row>
    <row r="1410" spans="18:30" x14ac:dyDescent="0.3">
      <c r="R1410" s="89"/>
      <c r="S1410" s="89"/>
      <c r="T1410" s="89"/>
      <c r="U1410" s="89"/>
      <c r="V1410" s="89"/>
      <c r="W1410" s="89"/>
      <c r="X1410" s="89"/>
      <c r="Y1410" s="89"/>
      <c r="Z1410" s="89"/>
      <c r="AA1410" s="89"/>
      <c r="AB1410" s="89"/>
      <c r="AC1410" s="89"/>
      <c r="AD1410" s="89"/>
    </row>
    <row r="1411" spans="18:30" x14ac:dyDescent="0.3">
      <c r="R1411" s="89"/>
      <c r="S1411" s="89"/>
      <c r="T1411" s="89"/>
      <c r="U1411" s="89"/>
      <c r="V1411" s="89"/>
      <c r="W1411" s="89"/>
      <c r="X1411" s="89"/>
      <c r="Y1411" s="89"/>
      <c r="Z1411" s="89"/>
      <c r="AA1411" s="89"/>
      <c r="AB1411" s="89"/>
      <c r="AC1411" s="89"/>
      <c r="AD1411" s="89"/>
    </row>
    <row r="1412" spans="18:30" x14ac:dyDescent="0.3">
      <c r="R1412" s="89"/>
      <c r="S1412" s="89"/>
      <c r="T1412" s="89"/>
      <c r="U1412" s="89"/>
      <c r="V1412" s="89"/>
      <c r="W1412" s="89"/>
      <c r="X1412" s="89"/>
      <c r="Y1412" s="89"/>
      <c r="Z1412" s="89"/>
      <c r="AA1412" s="89"/>
      <c r="AB1412" s="89"/>
      <c r="AC1412" s="89"/>
      <c r="AD1412" s="89"/>
    </row>
    <row r="1413" spans="18:30" x14ac:dyDescent="0.3">
      <c r="R1413" s="89"/>
      <c r="S1413" s="89"/>
      <c r="T1413" s="89"/>
      <c r="U1413" s="89"/>
      <c r="V1413" s="89"/>
      <c r="W1413" s="89"/>
      <c r="X1413" s="89"/>
      <c r="Y1413" s="89"/>
      <c r="Z1413" s="89"/>
      <c r="AA1413" s="89"/>
      <c r="AB1413" s="89"/>
      <c r="AC1413" s="89"/>
      <c r="AD1413" s="89"/>
    </row>
    <row r="1414" spans="18:30" x14ac:dyDescent="0.3">
      <c r="R1414" s="89"/>
      <c r="S1414" s="89"/>
      <c r="T1414" s="89"/>
      <c r="U1414" s="89"/>
      <c r="V1414" s="89"/>
      <c r="W1414" s="89"/>
      <c r="X1414" s="89"/>
      <c r="Y1414" s="89"/>
      <c r="Z1414" s="89"/>
      <c r="AA1414" s="89"/>
      <c r="AB1414" s="89"/>
      <c r="AC1414" s="89"/>
      <c r="AD1414" s="89"/>
    </row>
    <row r="1415" spans="18:30" x14ac:dyDescent="0.3">
      <c r="R1415" s="89"/>
      <c r="S1415" s="89"/>
      <c r="T1415" s="89"/>
      <c r="U1415" s="89"/>
      <c r="V1415" s="89"/>
      <c r="W1415" s="89"/>
      <c r="X1415" s="89"/>
      <c r="Y1415" s="89"/>
      <c r="Z1415" s="89"/>
      <c r="AA1415" s="89"/>
      <c r="AB1415" s="89"/>
      <c r="AC1415" s="89"/>
      <c r="AD1415" s="89"/>
    </row>
    <row r="1416" spans="18:30" x14ac:dyDescent="0.3">
      <c r="R1416" s="89"/>
      <c r="S1416" s="89"/>
      <c r="T1416" s="89"/>
      <c r="U1416" s="89"/>
      <c r="V1416" s="89"/>
      <c r="W1416" s="89"/>
      <c r="X1416" s="89"/>
      <c r="Y1416" s="89"/>
      <c r="Z1416" s="89"/>
      <c r="AA1416" s="89"/>
      <c r="AB1416" s="89"/>
      <c r="AC1416" s="89"/>
      <c r="AD1416" s="89"/>
    </row>
    <row r="1417" spans="18:30" x14ac:dyDescent="0.3">
      <c r="R1417" s="89"/>
      <c r="S1417" s="89"/>
      <c r="T1417" s="89"/>
      <c r="U1417" s="89"/>
      <c r="V1417" s="89"/>
      <c r="W1417" s="89"/>
      <c r="X1417" s="89"/>
      <c r="Y1417" s="89"/>
      <c r="Z1417" s="89"/>
      <c r="AA1417" s="89"/>
      <c r="AB1417" s="89"/>
      <c r="AC1417" s="89"/>
      <c r="AD1417" s="89"/>
    </row>
    <row r="1418" spans="18:30" x14ac:dyDescent="0.3">
      <c r="R1418" s="89"/>
      <c r="S1418" s="89"/>
      <c r="T1418" s="89"/>
      <c r="U1418" s="89"/>
      <c r="V1418" s="89"/>
      <c r="W1418" s="89"/>
      <c r="X1418" s="89"/>
      <c r="Y1418" s="89"/>
      <c r="Z1418" s="89"/>
      <c r="AA1418" s="89"/>
      <c r="AB1418" s="89"/>
      <c r="AC1418" s="89"/>
      <c r="AD1418" s="89"/>
    </row>
    <row r="1419" spans="18:30" x14ac:dyDescent="0.3">
      <c r="R1419" s="89"/>
      <c r="S1419" s="89"/>
      <c r="T1419" s="89"/>
      <c r="U1419" s="89"/>
      <c r="V1419" s="89"/>
      <c r="W1419" s="89"/>
      <c r="X1419" s="89"/>
      <c r="Y1419" s="89"/>
      <c r="Z1419" s="89"/>
      <c r="AA1419" s="89"/>
      <c r="AB1419" s="89"/>
      <c r="AC1419" s="89"/>
      <c r="AD1419" s="89"/>
    </row>
    <row r="1420" spans="18:30" x14ac:dyDescent="0.3">
      <c r="R1420" s="89"/>
      <c r="S1420" s="89"/>
      <c r="T1420" s="89"/>
      <c r="U1420" s="89"/>
      <c r="V1420" s="89"/>
      <c r="W1420" s="89"/>
      <c r="X1420" s="89"/>
      <c r="Y1420" s="89"/>
      <c r="Z1420" s="89"/>
      <c r="AA1420" s="89"/>
      <c r="AB1420" s="89"/>
      <c r="AC1420" s="89"/>
      <c r="AD1420" s="89"/>
    </row>
    <row r="1421" spans="18:30" x14ac:dyDescent="0.3">
      <c r="R1421" s="89"/>
      <c r="S1421" s="89"/>
      <c r="T1421" s="89"/>
      <c r="U1421" s="89"/>
      <c r="V1421" s="89"/>
      <c r="W1421" s="89"/>
      <c r="X1421" s="89"/>
      <c r="Y1421" s="89"/>
      <c r="Z1421" s="89"/>
      <c r="AA1421" s="89"/>
      <c r="AB1421" s="89"/>
      <c r="AC1421" s="89"/>
      <c r="AD1421" s="89"/>
    </row>
    <row r="1422" spans="18:30" x14ac:dyDescent="0.3">
      <c r="R1422" s="89"/>
      <c r="S1422" s="89"/>
      <c r="T1422" s="89"/>
      <c r="U1422" s="89"/>
      <c r="V1422" s="89"/>
      <c r="W1422" s="89"/>
      <c r="X1422" s="89"/>
      <c r="Y1422" s="89"/>
      <c r="Z1422" s="89"/>
      <c r="AA1422" s="89"/>
      <c r="AB1422" s="89"/>
      <c r="AC1422" s="89"/>
      <c r="AD1422" s="89"/>
    </row>
    <row r="1423" spans="18:30" x14ac:dyDescent="0.3">
      <c r="R1423" s="89"/>
      <c r="S1423" s="89"/>
      <c r="T1423" s="89"/>
      <c r="U1423" s="89"/>
      <c r="V1423" s="89"/>
      <c r="W1423" s="89"/>
      <c r="X1423" s="89"/>
      <c r="Y1423" s="89"/>
      <c r="Z1423" s="89"/>
      <c r="AA1423" s="89"/>
      <c r="AB1423" s="89"/>
      <c r="AC1423" s="89"/>
      <c r="AD1423" s="89"/>
    </row>
    <row r="1424" spans="18:30" x14ac:dyDescent="0.3">
      <c r="R1424" s="89"/>
      <c r="S1424" s="89"/>
      <c r="T1424" s="89"/>
      <c r="U1424" s="89"/>
      <c r="V1424" s="89"/>
      <c r="W1424" s="89"/>
      <c r="X1424" s="89"/>
      <c r="Y1424" s="89"/>
      <c r="Z1424" s="89"/>
      <c r="AA1424" s="89"/>
      <c r="AB1424" s="89"/>
      <c r="AC1424" s="89"/>
      <c r="AD1424" s="89"/>
    </row>
    <row r="1425" spans="18:30" x14ac:dyDescent="0.3">
      <c r="R1425" s="89"/>
      <c r="S1425" s="89"/>
      <c r="T1425" s="89"/>
      <c r="U1425" s="89"/>
      <c r="V1425" s="89"/>
      <c r="W1425" s="89"/>
      <c r="X1425" s="89"/>
      <c r="Y1425" s="89"/>
      <c r="Z1425" s="89"/>
      <c r="AA1425" s="89"/>
      <c r="AB1425" s="89"/>
      <c r="AC1425" s="89"/>
      <c r="AD1425" s="89"/>
    </row>
    <row r="1426" spans="18:30" x14ac:dyDescent="0.3">
      <c r="R1426" s="89"/>
      <c r="S1426" s="89"/>
      <c r="T1426" s="89"/>
      <c r="U1426" s="89"/>
      <c r="V1426" s="89"/>
      <c r="W1426" s="89"/>
      <c r="X1426" s="89"/>
      <c r="Y1426" s="89"/>
      <c r="Z1426" s="89"/>
      <c r="AA1426" s="89"/>
      <c r="AB1426" s="89"/>
      <c r="AC1426" s="89"/>
      <c r="AD1426" s="89"/>
    </row>
    <row r="1427" spans="18:30" x14ac:dyDescent="0.3">
      <c r="R1427" s="89"/>
      <c r="S1427" s="89"/>
      <c r="T1427" s="89"/>
      <c r="U1427" s="89"/>
      <c r="V1427" s="89"/>
      <c r="W1427" s="89"/>
      <c r="X1427" s="89"/>
      <c r="Y1427" s="89"/>
      <c r="Z1427" s="89"/>
      <c r="AA1427" s="89"/>
      <c r="AB1427" s="89"/>
      <c r="AC1427" s="89"/>
      <c r="AD1427" s="89"/>
    </row>
    <row r="1428" spans="18:30" x14ac:dyDescent="0.3">
      <c r="R1428" s="89"/>
      <c r="S1428" s="89"/>
      <c r="T1428" s="89"/>
      <c r="U1428" s="89"/>
      <c r="V1428" s="89"/>
      <c r="W1428" s="89"/>
      <c r="X1428" s="89"/>
      <c r="Y1428" s="89"/>
      <c r="Z1428" s="89"/>
      <c r="AA1428" s="89"/>
      <c r="AB1428" s="89"/>
      <c r="AC1428" s="89"/>
      <c r="AD1428" s="89"/>
    </row>
    <row r="1429" spans="18:30" x14ac:dyDescent="0.3">
      <c r="R1429" s="89"/>
      <c r="S1429" s="89"/>
      <c r="T1429" s="89"/>
      <c r="U1429" s="89"/>
      <c r="V1429" s="89"/>
      <c r="W1429" s="89"/>
      <c r="X1429" s="89"/>
      <c r="Y1429" s="89"/>
      <c r="Z1429" s="89"/>
      <c r="AA1429" s="89"/>
      <c r="AB1429" s="89"/>
      <c r="AC1429" s="89"/>
      <c r="AD1429" s="89"/>
    </row>
    <row r="1430" spans="18:30" x14ac:dyDescent="0.3">
      <c r="R1430" s="89"/>
      <c r="S1430" s="89"/>
      <c r="T1430" s="89"/>
      <c r="U1430" s="89"/>
      <c r="V1430" s="89"/>
      <c r="W1430" s="89"/>
      <c r="X1430" s="89"/>
      <c r="Y1430" s="89"/>
      <c r="Z1430" s="89"/>
      <c r="AA1430" s="89"/>
      <c r="AB1430" s="89"/>
      <c r="AC1430" s="89"/>
      <c r="AD1430" s="89"/>
    </row>
    <row r="1431" spans="18:30" x14ac:dyDescent="0.3">
      <c r="R1431" s="89"/>
      <c r="S1431" s="89"/>
      <c r="T1431" s="89"/>
      <c r="U1431" s="89"/>
      <c r="V1431" s="89"/>
      <c r="W1431" s="89"/>
      <c r="X1431" s="89"/>
      <c r="Y1431" s="89"/>
      <c r="Z1431" s="89"/>
      <c r="AA1431" s="89"/>
      <c r="AB1431" s="89"/>
      <c r="AC1431" s="89"/>
      <c r="AD1431" s="89"/>
    </row>
    <row r="1432" spans="18:30" x14ac:dyDescent="0.3">
      <c r="R1432" s="89"/>
      <c r="S1432" s="89"/>
      <c r="T1432" s="89"/>
      <c r="U1432" s="89"/>
      <c r="V1432" s="89"/>
      <c r="W1432" s="89"/>
      <c r="X1432" s="89"/>
      <c r="Y1432" s="89"/>
      <c r="Z1432" s="89"/>
      <c r="AA1432" s="89"/>
      <c r="AB1432" s="89"/>
      <c r="AC1432" s="89"/>
      <c r="AD1432" s="89"/>
    </row>
    <row r="1433" spans="18:30" x14ac:dyDescent="0.3">
      <c r="R1433" s="89"/>
      <c r="S1433" s="89"/>
      <c r="T1433" s="89"/>
      <c r="U1433" s="89"/>
      <c r="V1433" s="89"/>
      <c r="W1433" s="89"/>
      <c r="X1433" s="89"/>
      <c r="Y1433" s="89"/>
      <c r="Z1433" s="89"/>
      <c r="AA1433" s="89"/>
      <c r="AB1433" s="89"/>
      <c r="AC1433" s="89"/>
      <c r="AD1433" s="89"/>
    </row>
    <row r="1434" spans="18:30" x14ac:dyDescent="0.3">
      <c r="R1434" s="89"/>
      <c r="S1434" s="89"/>
      <c r="T1434" s="89"/>
      <c r="U1434" s="89"/>
      <c r="V1434" s="89"/>
      <c r="W1434" s="89"/>
      <c r="X1434" s="89"/>
      <c r="Y1434" s="89"/>
      <c r="Z1434" s="89"/>
      <c r="AA1434" s="89"/>
      <c r="AB1434" s="89"/>
      <c r="AC1434" s="89"/>
      <c r="AD1434" s="89"/>
    </row>
    <row r="1435" spans="18:30" x14ac:dyDescent="0.3">
      <c r="R1435" s="89"/>
      <c r="S1435" s="89"/>
      <c r="T1435" s="89"/>
      <c r="U1435" s="89"/>
      <c r="V1435" s="89"/>
      <c r="W1435" s="89"/>
      <c r="X1435" s="89"/>
      <c r="Y1435" s="89"/>
      <c r="Z1435" s="89"/>
      <c r="AA1435" s="89"/>
      <c r="AB1435" s="89"/>
      <c r="AC1435" s="89"/>
      <c r="AD1435" s="89"/>
    </row>
    <row r="1436" spans="18:30" x14ac:dyDescent="0.3">
      <c r="R1436" s="89"/>
      <c r="S1436" s="89"/>
      <c r="T1436" s="89"/>
      <c r="U1436" s="89"/>
      <c r="V1436" s="89"/>
      <c r="W1436" s="89"/>
      <c r="X1436" s="89"/>
      <c r="Y1436" s="89"/>
      <c r="Z1436" s="89"/>
      <c r="AA1436" s="89"/>
      <c r="AB1436" s="89"/>
      <c r="AC1436" s="89"/>
      <c r="AD1436" s="89"/>
    </row>
    <row r="1437" spans="18:30" x14ac:dyDescent="0.3">
      <c r="R1437" s="89"/>
      <c r="S1437" s="89"/>
      <c r="T1437" s="89"/>
      <c r="U1437" s="89"/>
      <c r="V1437" s="89"/>
      <c r="W1437" s="89"/>
      <c r="X1437" s="89"/>
      <c r="Y1437" s="89"/>
      <c r="Z1437" s="89"/>
      <c r="AA1437" s="89"/>
      <c r="AB1437" s="89"/>
      <c r="AC1437" s="89"/>
      <c r="AD1437" s="89"/>
    </row>
    <row r="1438" spans="18:30" x14ac:dyDescent="0.3">
      <c r="R1438" s="89"/>
      <c r="S1438" s="89"/>
      <c r="T1438" s="89"/>
      <c r="U1438" s="89"/>
      <c r="V1438" s="89"/>
      <c r="W1438" s="89"/>
      <c r="X1438" s="89"/>
      <c r="Y1438" s="89"/>
      <c r="Z1438" s="89"/>
      <c r="AA1438" s="89"/>
      <c r="AB1438" s="89"/>
      <c r="AC1438" s="89"/>
      <c r="AD1438" s="89"/>
    </row>
    <row r="1439" spans="18:30" x14ac:dyDescent="0.3">
      <c r="R1439" s="89"/>
      <c r="S1439" s="89"/>
      <c r="T1439" s="89"/>
      <c r="U1439" s="89"/>
      <c r="V1439" s="89"/>
      <c r="W1439" s="89"/>
      <c r="X1439" s="89"/>
      <c r="Y1439" s="89"/>
      <c r="Z1439" s="89"/>
      <c r="AA1439" s="89"/>
      <c r="AB1439" s="89"/>
      <c r="AC1439" s="89"/>
      <c r="AD1439" s="89"/>
    </row>
    <row r="1440" spans="18:30" x14ac:dyDescent="0.3">
      <c r="R1440" s="89"/>
      <c r="S1440" s="89"/>
      <c r="T1440" s="89"/>
      <c r="U1440" s="89"/>
      <c r="V1440" s="89"/>
      <c r="W1440" s="89"/>
      <c r="X1440" s="89"/>
      <c r="Y1440" s="89"/>
      <c r="Z1440" s="89"/>
      <c r="AA1440" s="89"/>
      <c r="AB1440" s="89"/>
      <c r="AC1440" s="89"/>
      <c r="AD1440" s="89"/>
    </row>
    <row r="1441" spans="18:30" x14ac:dyDescent="0.3">
      <c r="R1441" s="89"/>
      <c r="S1441" s="89"/>
      <c r="T1441" s="89"/>
      <c r="U1441" s="89"/>
      <c r="V1441" s="89"/>
      <c r="W1441" s="89"/>
      <c r="X1441" s="89"/>
      <c r="Y1441" s="89"/>
      <c r="Z1441" s="89"/>
      <c r="AA1441" s="89"/>
      <c r="AB1441" s="89"/>
      <c r="AC1441" s="89"/>
      <c r="AD1441" s="89"/>
    </row>
    <row r="1442" spans="18:30" x14ac:dyDescent="0.3">
      <c r="R1442" s="89"/>
      <c r="S1442" s="89"/>
      <c r="T1442" s="89"/>
      <c r="U1442" s="89"/>
      <c r="V1442" s="89"/>
      <c r="W1442" s="89"/>
      <c r="X1442" s="89"/>
      <c r="Y1442" s="89"/>
      <c r="Z1442" s="89"/>
      <c r="AA1442" s="89"/>
      <c r="AB1442" s="89"/>
      <c r="AC1442" s="89"/>
      <c r="AD1442" s="89"/>
    </row>
    <row r="1443" spans="18:30" x14ac:dyDescent="0.3">
      <c r="R1443" s="89"/>
      <c r="S1443" s="89"/>
      <c r="T1443" s="89"/>
      <c r="U1443" s="89"/>
      <c r="V1443" s="89"/>
      <c r="W1443" s="89"/>
      <c r="X1443" s="89"/>
      <c r="Y1443" s="89"/>
      <c r="Z1443" s="89"/>
      <c r="AA1443" s="89"/>
      <c r="AB1443" s="89"/>
      <c r="AC1443" s="89"/>
      <c r="AD1443" s="89"/>
    </row>
    <row r="1444" spans="18:30" x14ac:dyDescent="0.3">
      <c r="R1444" s="89"/>
      <c r="S1444" s="89"/>
      <c r="T1444" s="89"/>
      <c r="U1444" s="89"/>
      <c r="V1444" s="89"/>
      <c r="W1444" s="89"/>
      <c r="X1444" s="89"/>
      <c r="Y1444" s="89"/>
      <c r="Z1444" s="89"/>
      <c r="AA1444" s="89"/>
      <c r="AB1444" s="89"/>
      <c r="AC1444" s="89"/>
      <c r="AD1444" s="89"/>
    </row>
    <row r="1445" spans="18:30" x14ac:dyDescent="0.3">
      <c r="R1445" s="89"/>
      <c r="S1445" s="89"/>
      <c r="T1445" s="89"/>
      <c r="U1445" s="89"/>
      <c r="V1445" s="89"/>
      <c r="W1445" s="89"/>
      <c r="X1445" s="89"/>
      <c r="Y1445" s="89"/>
      <c r="Z1445" s="89"/>
      <c r="AA1445" s="89"/>
      <c r="AB1445" s="89"/>
      <c r="AC1445" s="89"/>
      <c r="AD1445" s="89"/>
    </row>
    <row r="1446" spans="18:30" x14ac:dyDescent="0.3">
      <c r="R1446" s="89"/>
      <c r="S1446" s="89"/>
      <c r="T1446" s="89"/>
      <c r="U1446" s="89"/>
      <c r="V1446" s="89"/>
      <c r="W1446" s="89"/>
      <c r="X1446" s="89"/>
      <c r="Y1446" s="89"/>
      <c r="Z1446" s="89"/>
      <c r="AA1446" s="89"/>
      <c r="AB1446" s="89"/>
      <c r="AC1446" s="89"/>
      <c r="AD1446" s="89"/>
    </row>
    <row r="1447" spans="18:30" x14ac:dyDescent="0.3">
      <c r="R1447" s="89"/>
      <c r="S1447" s="89"/>
      <c r="T1447" s="89"/>
      <c r="U1447" s="89"/>
      <c r="V1447" s="89"/>
      <c r="W1447" s="89"/>
      <c r="X1447" s="89"/>
      <c r="Y1447" s="89"/>
      <c r="Z1447" s="89"/>
      <c r="AA1447" s="89"/>
      <c r="AB1447" s="89"/>
      <c r="AC1447" s="89"/>
      <c r="AD1447" s="89"/>
    </row>
    <row r="1448" spans="18:30" x14ac:dyDescent="0.3">
      <c r="R1448" s="89"/>
      <c r="S1448" s="89"/>
      <c r="T1448" s="89"/>
      <c r="U1448" s="89"/>
      <c r="V1448" s="89"/>
      <c r="W1448" s="89"/>
      <c r="X1448" s="89"/>
      <c r="Y1448" s="89"/>
      <c r="Z1448" s="89"/>
      <c r="AA1448" s="89"/>
      <c r="AB1448" s="89"/>
      <c r="AC1448" s="89"/>
      <c r="AD1448" s="89"/>
    </row>
    <row r="1449" spans="18:30" x14ac:dyDescent="0.3">
      <c r="R1449" s="89"/>
      <c r="S1449" s="89"/>
      <c r="T1449" s="89"/>
      <c r="U1449" s="89"/>
      <c r="V1449" s="89"/>
      <c r="W1449" s="89"/>
      <c r="X1449" s="89"/>
      <c r="Y1449" s="89"/>
      <c r="Z1449" s="89"/>
      <c r="AA1449" s="89"/>
      <c r="AB1449" s="89"/>
      <c r="AC1449" s="89"/>
      <c r="AD1449" s="89"/>
    </row>
    <row r="1450" spans="18:30" x14ac:dyDescent="0.3">
      <c r="R1450" s="89"/>
      <c r="S1450" s="89"/>
      <c r="T1450" s="89"/>
      <c r="U1450" s="89"/>
      <c r="V1450" s="89"/>
      <c r="W1450" s="89"/>
      <c r="X1450" s="89"/>
      <c r="Y1450" s="89"/>
      <c r="Z1450" s="89"/>
      <c r="AA1450" s="89"/>
      <c r="AB1450" s="89"/>
      <c r="AC1450" s="89"/>
      <c r="AD1450" s="89"/>
    </row>
    <row r="1451" spans="18:30" x14ac:dyDescent="0.3">
      <c r="R1451" s="89"/>
      <c r="S1451" s="89"/>
      <c r="T1451" s="89"/>
      <c r="U1451" s="89"/>
      <c r="V1451" s="89"/>
      <c r="W1451" s="89"/>
      <c r="X1451" s="89"/>
      <c r="Y1451" s="89"/>
      <c r="Z1451" s="89"/>
      <c r="AA1451" s="89"/>
      <c r="AB1451" s="89"/>
      <c r="AC1451" s="89"/>
      <c r="AD1451" s="89"/>
    </row>
    <row r="1452" spans="18:30" x14ac:dyDescent="0.3">
      <c r="R1452" s="89"/>
      <c r="S1452" s="89"/>
      <c r="T1452" s="89"/>
      <c r="U1452" s="89"/>
      <c r="V1452" s="89"/>
      <c r="W1452" s="89"/>
      <c r="X1452" s="89"/>
      <c r="Y1452" s="89"/>
      <c r="Z1452" s="89"/>
      <c r="AA1452" s="89"/>
      <c r="AB1452" s="89"/>
      <c r="AC1452" s="89"/>
      <c r="AD1452" s="89"/>
    </row>
    <row r="1453" spans="18:30" x14ac:dyDescent="0.3">
      <c r="R1453" s="89"/>
      <c r="S1453" s="89"/>
      <c r="T1453" s="89"/>
      <c r="U1453" s="89"/>
      <c r="V1453" s="89"/>
      <c r="W1453" s="89"/>
      <c r="X1453" s="89"/>
      <c r="Y1453" s="89"/>
      <c r="Z1453" s="89"/>
      <c r="AA1453" s="89"/>
      <c r="AB1453" s="89"/>
      <c r="AC1453" s="89"/>
      <c r="AD1453" s="89"/>
    </row>
    <row r="1454" spans="18:30" x14ac:dyDescent="0.3">
      <c r="R1454" s="89"/>
      <c r="S1454" s="89"/>
      <c r="T1454" s="89"/>
      <c r="U1454" s="89"/>
      <c r="V1454" s="89"/>
      <c r="W1454" s="89"/>
      <c r="X1454" s="89"/>
      <c r="Y1454" s="89"/>
      <c r="Z1454" s="89"/>
      <c r="AA1454" s="89"/>
      <c r="AB1454" s="89"/>
      <c r="AC1454" s="89"/>
      <c r="AD1454" s="89"/>
    </row>
    <row r="1455" spans="18:30" x14ac:dyDescent="0.3">
      <c r="R1455" s="89"/>
      <c r="S1455" s="89"/>
      <c r="T1455" s="89"/>
      <c r="U1455" s="89"/>
      <c r="V1455" s="89"/>
      <c r="W1455" s="89"/>
      <c r="X1455" s="89"/>
      <c r="Y1455" s="89"/>
      <c r="Z1455" s="89"/>
      <c r="AA1455" s="89"/>
      <c r="AB1455" s="89"/>
      <c r="AC1455" s="89"/>
      <c r="AD1455" s="89"/>
    </row>
    <row r="1456" spans="18:30" x14ac:dyDescent="0.3">
      <c r="R1456" s="89"/>
      <c r="S1456" s="89"/>
      <c r="T1456" s="89"/>
      <c r="U1456" s="89"/>
      <c r="V1456" s="89"/>
      <c r="W1456" s="89"/>
      <c r="X1456" s="89"/>
      <c r="Y1456" s="89"/>
      <c r="Z1456" s="89"/>
      <c r="AA1456" s="89"/>
      <c r="AB1456" s="89"/>
      <c r="AC1456" s="89"/>
      <c r="AD1456" s="89"/>
    </row>
    <row r="1457" spans="18:30" x14ac:dyDescent="0.3">
      <c r="R1457" s="89"/>
      <c r="S1457" s="89"/>
      <c r="T1457" s="89"/>
      <c r="U1457" s="89"/>
      <c r="V1457" s="89"/>
      <c r="W1457" s="89"/>
      <c r="X1457" s="89"/>
      <c r="Y1457" s="89"/>
      <c r="Z1457" s="89"/>
      <c r="AA1457" s="89"/>
      <c r="AB1457" s="89"/>
      <c r="AC1457" s="89"/>
      <c r="AD1457" s="89"/>
    </row>
    <row r="1458" spans="18:30" x14ac:dyDescent="0.3">
      <c r="R1458" s="89"/>
      <c r="S1458" s="89"/>
      <c r="T1458" s="89"/>
      <c r="U1458" s="89"/>
      <c r="V1458" s="89"/>
      <c r="W1458" s="89"/>
      <c r="X1458" s="89"/>
      <c r="Y1458" s="89"/>
      <c r="Z1458" s="89"/>
      <c r="AA1458" s="89"/>
      <c r="AB1458" s="89"/>
      <c r="AC1458" s="89"/>
      <c r="AD1458" s="89"/>
    </row>
    <row r="1459" spans="18:30" x14ac:dyDescent="0.3">
      <c r="R1459" s="89"/>
      <c r="S1459" s="89"/>
      <c r="T1459" s="89"/>
      <c r="U1459" s="89"/>
      <c r="V1459" s="89"/>
      <c r="W1459" s="89"/>
      <c r="X1459" s="89"/>
      <c r="Y1459" s="89"/>
      <c r="Z1459" s="89"/>
      <c r="AA1459" s="89"/>
      <c r="AB1459" s="89"/>
      <c r="AC1459" s="89"/>
      <c r="AD1459" s="89"/>
    </row>
    <row r="1460" spans="18:30" x14ac:dyDescent="0.3">
      <c r="R1460" s="89"/>
      <c r="S1460" s="89"/>
      <c r="T1460" s="89"/>
      <c r="U1460" s="89"/>
      <c r="V1460" s="89"/>
      <c r="W1460" s="89"/>
      <c r="X1460" s="89"/>
      <c r="Y1460" s="89"/>
      <c r="Z1460" s="89"/>
      <c r="AA1460" s="89"/>
      <c r="AB1460" s="89"/>
      <c r="AC1460" s="89"/>
      <c r="AD1460" s="89"/>
    </row>
    <row r="1461" spans="18:30" x14ac:dyDescent="0.3">
      <c r="R1461" s="89"/>
      <c r="S1461" s="89"/>
      <c r="T1461" s="89"/>
      <c r="U1461" s="89"/>
      <c r="V1461" s="89"/>
      <c r="W1461" s="89"/>
      <c r="X1461" s="89"/>
      <c r="Y1461" s="89"/>
      <c r="Z1461" s="89"/>
      <c r="AA1461" s="89"/>
      <c r="AB1461" s="89"/>
      <c r="AC1461" s="89"/>
      <c r="AD1461" s="89"/>
    </row>
    <row r="1462" spans="18:30" x14ac:dyDescent="0.3">
      <c r="R1462" s="89"/>
      <c r="S1462" s="89"/>
      <c r="T1462" s="89"/>
      <c r="U1462" s="89"/>
      <c r="V1462" s="89"/>
      <c r="W1462" s="89"/>
      <c r="X1462" s="89"/>
      <c r="Y1462" s="89"/>
      <c r="Z1462" s="89"/>
      <c r="AA1462" s="89"/>
      <c r="AB1462" s="89"/>
      <c r="AC1462" s="89"/>
      <c r="AD1462" s="89"/>
    </row>
    <row r="1463" spans="18:30" x14ac:dyDescent="0.3">
      <c r="R1463" s="89"/>
      <c r="S1463" s="89"/>
      <c r="T1463" s="89"/>
      <c r="U1463" s="89"/>
      <c r="V1463" s="89"/>
      <c r="W1463" s="89"/>
      <c r="X1463" s="89"/>
      <c r="Y1463" s="89"/>
      <c r="Z1463" s="89"/>
      <c r="AA1463" s="89"/>
      <c r="AB1463" s="89"/>
      <c r="AC1463" s="89"/>
      <c r="AD1463" s="89"/>
    </row>
    <row r="1464" spans="18:30" x14ac:dyDescent="0.3">
      <c r="R1464" s="89"/>
      <c r="S1464" s="89"/>
      <c r="T1464" s="89"/>
      <c r="U1464" s="89"/>
      <c r="V1464" s="89"/>
      <c r="W1464" s="89"/>
      <c r="X1464" s="89"/>
      <c r="Y1464" s="89"/>
      <c r="Z1464" s="89"/>
      <c r="AA1464" s="89"/>
      <c r="AB1464" s="89"/>
      <c r="AC1464" s="89"/>
      <c r="AD1464" s="89"/>
    </row>
    <row r="1465" spans="18:30" x14ac:dyDescent="0.3">
      <c r="R1465" s="89"/>
      <c r="S1465" s="89"/>
      <c r="T1465" s="89"/>
      <c r="U1465" s="89"/>
      <c r="V1465" s="89"/>
      <c r="W1465" s="89"/>
      <c r="X1465" s="89"/>
      <c r="Y1465" s="89"/>
      <c r="Z1465" s="89"/>
      <c r="AA1465" s="89"/>
      <c r="AB1465" s="89"/>
      <c r="AC1465" s="89"/>
      <c r="AD1465" s="89"/>
    </row>
    <row r="1466" spans="18:30" x14ac:dyDescent="0.3">
      <c r="R1466" s="89"/>
      <c r="S1466" s="89"/>
      <c r="T1466" s="89"/>
      <c r="U1466" s="89"/>
      <c r="V1466" s="89"/>
      <c r="W1466" s="89"/>
      <c r="X1466" s="89"/>
      <c r="Y1466" s="89"/>
      <c r="Z1466" s="89"/>
      <c r="AA1466" s="89"/>
      <c r="AB1466" s="89"/>
      <c r="AC1466" s="89"/>
      <c r="AD1466" s="89"/>
    </row>
    <row r="1467" spans="18:30" x14ac:dyDescent="0.3">
      <c r="R1467" s="89"/>
      <c r="S1467" s="89"/>
      <c r="T1467" s="89"/>
      <c r="U1467" s="89"/>
      <c r="V1467" s="89"/>
      <c r="W1467" s="89"/>
      <c r="X1467" s="89"/>
      <c r="Y1467" s="89"/>
      <c r="Z1467" s="89"/>
      <c r="AA1467" s="89"/>
      <c r="AB1467" s="89"/>
      <c r="AC1467" s="89"/>
      <c r="AD1467" s="89"/>
    </row>
    <row r="1468" spans="18:30" x14ac:dyDescent="0.3">
      <c r="R1468" s="89"/>
      <c r="S1468" s="89"/>
      <c r="T1468" s="89"/>
      <c r="U1468" s="89"/>
      <c r="V1468" s="89"/>
      <c r="W1468" s="89"/>
      <c r="X1468" s="89"/>
      <c r="Y1468" s="89"/>
      <c r="Z1468" s="89"/>
      <c r="AA1468" s="89"/>
      <c r="AB1468" s="89"/>
      <c r="AC1468" s="89"/>
      <c r="AD1468" s="89"/>
    </row>
    <row r="1469" spans="18:30" x14ac:dyDescent="0.3">
      <c r="R1469" s="89"/>
      <c r="S1469" s="89"/>
      <c r="T1469" s="89"/>
      <c r="U1469" s="89"/>
      <c r="V1469" s="89"/>
      <c r="W1469" s="89"/>
      <c r="X1469" s="89"/>
      <c r="Y1469" s="89"/>
      <c r="Z1469" s="89"/>
      <c r="AA1469" s="89"/>
      <c r="AB1469" s="89"/>
      <c r="AC1469" s="89"/>
      <c r="AD1469" s="89"/>
    </row>
    <row r="1470" spans="18:30" x14ac:dyDescent="0.3">
      <c r="R1470" s="89"/>
      <c r="S1470" s="89"/>
      <c r="T1470" s="89"/>
      <c r="U1470" s="89"/>
      <c r="V1470" s="89"/>
      <c r="W1470" s="89"/>
      <c r="X1470" s="89"/>
      <c r="Y1470" s="89"/>
      <c r="Z1470" s="89"/>
      <c r="AA1470" s="89"/>
      <c r="AB1470" s="89"/>
      <c r="AC1470" s="89"/>
      <c r="AD1470" s="89"/>
    </row>
    <row r="1471" spans="18:30" x14ac:dyDescent="0.3">
      <c r="R1471" s="89"/>
      <c r="S1471" s="89"/>
      <c r="T1471" s="89"/>
      <c r="U1471" s="89"/>
      <c r="V1471" s="89"/>
      <c r="W1471" s="89"/>
      <c r="X1471" s="89"/>
      <c r="Y1471" s="89"/>
      <c r="Z1471" s="89"/>
      <c r="AA1471" s="89"/>
      <c r="AB1471" s="89"/>
      <c r="AC1471" s="89"/>
      <c r="AD1471" s="89"/>
    </row>
    <row r="1472" spans="18:30" x14ac:dyDescent="0.3">
      <c r="R1472" s="89"/>
      <c r="S1472" s="89"/>
      <c r="T1472" s="89"/>
      <c r="U1472" s="89"/>
      <c r="V1472" s="89"/>
      <c r="W1472" s="89"/>
      <c r="X1472" s="89"/>
      <c r="Y1472" s="89"/>
      <c r="Z1472" s="89"/>
      <c r="AA1472" s="89"/>
      <c r="AB1472" s="89"/>
      <c r="AC1472" s="89"/>
      <c r="AD1472" s="89"/>
    </row>
    <row r="1473" spans="18:30" x14ac:dyDescent="0.3">
      <c r="R1473" s="89"/>
      <c r="S1473" s="89"/>
      <c r="T1473" s="89"/>
      <c r="U1473" s="89"/>
      <c r="V1473" s="89"/>
      <c r="W1473" s="89"/>
      <c r="X1473" s="89"/>
      <c r="Y1473" s="89"/>
      <c r="Z1473" s="89"/>
      <c r="AA1473" s="89"/>
      <c r="AB1473" s="89"/>
      <c r="AC1473" s="89"/>
      <c r="AD1473" s="89"/>
    </row>
    <row r="1474" spans="18:30" x14ac:dyDescent="0.3">
      <c r="R1474" s="89"/>
      <c r="S1474" s="89"/>
      <c r="T1474" s="89"/>
      <c r="U1474" s="89"/>
      <c r="V1474" s="89"/>
      <c r="W1474" s="89"/>
      <c r="X1474" s="89"/>
      <c r="Y1474" s="89"/>
      <c r="Z1474" s="89"/>
      <c r="AA1474" s="89"/>
      <c r="AB1474" s="89"/>
      <c r="AC1474" s="89"/>
      <c r="AD1474" s="89"/>
    </row>
    <row r="1475" spans="18:30" x14ac:dyDescent="0.3">
      <c r="R1475" s="89"/>
      <c r="S1475" s="89"/>
      <c r="T1475" s="89"/>
      <c r="U1475" s="89"/>
      <c r="V1475" s="89"/>
      <c r="W1475" s="89"/>
      <c r="X1475" s="89"/>
      <c r="Y1475" s="89"/>
      <c r="Z1475" s="89"/>
      <c r="AA1475" s="89"/>
      <c r="AB1475" s="89"/>
      <c r="AC1475" s="89"/>
      <c r="AD1475" s="89"/>
    </row>
    <row r="1476" spans="18:30" x14ac:dyDescent="0.3">
      <c r="R1476" s="89"/>
      <c r="S1476" s="89"/>
      <c r="T1476" s="89"/>
      <c r="U1476" s="89"/>
      <c r="V1476" s="89"/>
      <c r="W1476" s="89"/>
      <c r="X1476" s="89"/>
      <c r="Y1476" s="89"/>
      <c r="Z1476" s="89"/>
      <c r="AA1476" s="89"/>
      <c r="AB1476" s="89"/>
      <c r="AC1476" s="89"/>
      <c r="AD1476" s="89"/>
    </row>
    <row r="1477" spans="18:30" x14ac:dyDescent="0.3">
      <c r="R1477" s="89"/>
      <c r="S1477" s="89"/>
      <c r="T1477" s="89"/>
      <c r="U1477" s="89"/>
      <c r="V1477" s="89"/>
      <c r="W1477" s="89"/>
      <c r="X1477" s="89"/>
      <c r="Y1477" s="89"/>
      <c r="Z1477" s="89"/>
      <c r="AA1477" s="89"/>
      <c r="AB1477" s="89"/>
      <c r="AC1477" s="89"/>
      <c r="AD1477" s="89"/>
    </row>
    <row r="1478" spans="18:30" x14ac:dyDescent="0.3">
      <c r="R1478" s="89"/>
      <c r="S1478" s="89"/>
      <c r="T1478" s="89"/>
      <c r="U1478" s="89"/>
      <c r="V1478" s="89"/>
      <c r="W1478" s="89"/>
      <c r="X1478" s="89"/>
      <c r="Y1478" s="89"/>
      <c r="Z1478" s="89"/>
      <c r="AA1478" s="89"/>
      <c r="AB1478" s="89"/>
      <c r="AC1478" s="89"/>
      <c r="AD1478" s="89"/>
    </row>
    <row r="1479" spans="18:30" x14ac:dyDescent="0.3">
      <c r="R1479" s="89"/>
      <c r="S1479" s="89"/>
      <c r="T1479" s="89"/>
      <c r="U1479" s="89"/>
      <c r="V1479" s="89"/>
      <c r="W1479" s="89"/>
      <c r="X1479" s="89"/>
      <c r="Y1479" s="89"/>
      <c r="Z1479" s="89"/>
      <c r="AA1479" s="89"/>
      <c r="AB1479" s="89"/>
      <c r="AC1479" s="89"/>
      <c r="AD1479" s="89"/>
    </row>
    <row r="1480" spans="18:30" x14ac:dyDescent="0.3">
      <c r="R1480" s="89"/>
      <c r="S1480" s="89"/>
      <c r="T1480" s="89"/>
      <c r="U1480" s="89"/>
      <c r="V1480" s="89"/>
      <c r="W1480" s="89"/>
      <c r="X1480" s="89"/>
      <c r="Y1480" s="89"/>
      <c r="Z1480" s="89"/>
      <c r="AA1480" s="89"/>
      <c r="AB1480" s="89"/>
      <c r="AC1480" s="89"/>
      <c r="AD1480" s="89"/>
    </row>
    <row r="1481" spans="18:30" x14ac:dyDescent="0.3">
      <c r="R1481" s="89"/>
      <c r="S1481" s="89"/>
      <c r="T1481" s="89"/>
      <c r="U1481" s="89"/>
      <c r="V1481" s="89"/>
      <c r="W1481" s="89"/>
      <c r="X1481" s="89"/>
      <c r="Y1481" s="89"/>
      <c r="Z1481" s="89"/>
      <c r="AA1481" s="89"/>
      <c r="AB1481" s="89"/>
      <c r="AC1481" s="89"/>
      <c r="AD1481" s="89"/>
    </row>
    <row r="1482" spans="18:30" x14ac:dyDescent="0.3">
      <c r="R1482" s="89"/>
      <c r="S1482" s="89"/>
      <c r="T1482" s="89"/>
      <c r="U1482" s="89"/>
      <c r="V1482" s="89"/>
      <c r="W1482" s="89"/>
      <c r="X1482" s="89"/>
      <c r="Y1482" s="89"/>
      <c r="Z1482" s="89"/>
      <c r="AA1482" s="89"/>
      <c r="AB1482" s="89"/>
      <c r="AC1482" s="89"/>
      <c r="AD1482" s="89"/>
    </row>
    <row r="1483" spans="18:30" x14ac:dyDescent="0.3">
      <c r="R1483" s="89"/>
      <c r="S1483" s="89"/>
      <c r="T1483" s="89"/>
      <c r="U1483" s="89"/>
      <c r="V1483" s="89"/>
      <c r="W1483" s="89"/>
      <c r="X1483" s="89"/>
      <c r="Y1483" s="89"/>
      <c r="Z1483" s="89"/>
      <c r="AA1483" s="89"/>
      <c r="AB1483" s="89"/>
      <c r="AC1483" s="89"/>
      <c r="AD1483" s="89"/>
    </row>
    <row r="1484" spans="18:30" x14ac:dyDescent="0.3">
      <c r="R1484" s="89"/>
      <c r="S1484" s="89"/>
      <c r="T1484" s="89"/>
      <c r="U1484" s="89"/>
      <c r="V1484" s="89"/>
      <c r="W1484" s="89"/>
      <c r="X1484" s="89"/>
      <c r="Y1484" s="89"/>
      <c r="Z1484" s="89"/>
      <c r="AA1484" s="89"/>
      <c r="AB1484" s="89"/>
      <c r="AC1484" s="89"/>
      <c r="AD1484" s="89"/>
    </row>
    <row r="1485" spans="18:30" x14ac:dyDescent="0.3">
      <c r="R1485" s="89"/>
      <c r="S1485" s="89"/>
      <c r="T1485" s="89"/>
      <c r="U1485" s="89"/>
      <c r="V1485" s="89"/>
      <c r="W1485" s="89"/>
      <c r="X1485" s="89"/>
      <c r="Y1485" s="89"/>
      <c r="Z1485" s="89"/>
      <c r="AA1485" s="89"/>
      <c r="AB1485" s="89"/>
      <c r="AC1485" s="89"/>
      <c r="AD1485" s="89"/>
    </row>
    <row r="1486" spans="18:30" x14ac:dyDescent="0.3">
      <c r="R1486" s="89"/>
      <c r="S1486" s="89"/>
      <c r="T1486" s="89"/>
      <c r="U1486" s="89"/>
      <c r="V1486" s="89"/>
      <c r="W1486" s="89"/>
      <c r="X1486" s="89"/>
      <c r="Y1486" s="89"/>
      <c r="Z1486" s="89"/>
      <c r="AA1486" s="89"/>
      <c r="AB1486" s="89"/>
      <c r="AC1486" s="89"/>
      <c r="AD1486" s="89"/>
    </row>
    <row r="1487" spans="18:30" x14ac:dyDescent="0.3">
      <c r="R1487" s="89"/>
      <c r="S1487" s="89"/>
      <c r="T1487" s="89"/>
      <c r="U1487" s="89"/>
      <c r="V1487" s="89"/>
      <c r="W1487" s="89"/>
      <c r="X1487" s="89"/>
      <c r="Y1487" s="89"/>
      <c r="Z1487" s="89"/>
      <c r="AA1487" s="89"/>
      <c r="AB1487" s="89"/>
      <c r="AC1487" s="89"/>
      <c r="AD1487" s="89"/>
    </row>
    <row r="1488" spans="18:30" x14ac:dyDescent="0.3">
      <c r="R1488" s="89"/>
      <c r="S1488" s="89"/>
      <c r="T1488" s="89"/>
      <c r="U1488" s="89"/>
      <c r="V1488" s="89"/>
      <c r="W1488" s="89"/>
      <c r="X1488" s="89"/>
      <c r="Y1488" s="89"/>
      <c r="Z1488" s="89"/>
      <c r="AA1488" s="89"/>
      <c r="AB1488" s="89"/>
      <c r="AC1488" s="89"/>
      <c r="AD1488" s="89"/>
    </row>
    <row r="1489" spans="18:30" x14ac:dyDescent="0.3">
      <c r="R1489" s="89"/>
      <c r="S1489" s="89"/>
      <c r="T1489" s="89"/>
      <c r="U1489" s="89"/>
      <c r="V1489" s="89"/>
      <c r="W1489" s="89"/>
      <c r="X1489" s="89"/>
      <c r="Y1489" s="89"/>
      <c r="Z1489" s="89"/>
      <c r="AA1489" s="89"/>
      <c r="AB1489" s="89"/>
      <c r="AC1489" s="89"/>
      <c r="AD1489" s="89"/>
    </row>
    <row r="1490" spans="18:30" x14ac:dyDescent="0.3">
      <c r="R1490" s="89"/>
      <c r="S1490" s="89"/>
      <c r="T1490" s="89"/>
      <c r="U1490" s="89"/>
      <c r="V1490" s="89"/>
      <c r="W1490" s="89"/>
      <c r="X1490" s="89"/>
      <c r="Y1490" s="89"/>
      <c r="Z1490" s="89"/>
      <c r="AA1490" s="89"/>
      <c r="AB1490" s="89"/>
      <c r="AC1490" s="89"/>
      <c r="AD1490" s="89"/>
    </row>
    <row r="1491" spans="18:30" x14ac:dyDescent="0.3">
      <c r="R1491" s="89"/>
      <c r="S1491" s="89"/>
      <c r="T1491" s="89"/>
      <c r="U1491" s="89"/>
      <c r="V1491" s="89"/>
      <c r="W1491" s="89"/>
      <c r="X1491" s="89"/>
      <c r="Y1491" s="89"/>
      <c r="Z1491" s="89"/>
      <c r="AA1491" s="89"/>
      <c r="AB1491" s="89"/>
      <c r="AC1491" s="89"/>
      <c r="AD1491" s="89"/>
    </row>
    <row r="1492" spans="18:30" x14ac:dyDescent="0.3">
      <c r="R1492" s="89"/>
      <c r="S1492" s="89"/>
      <c r="T1492" s="89"/>
      <c r="U1492" s="89"/>
      <c r="V1492" s="89"/>
      <c r="W1492" s="89"/>
      <c r="X1492" s="89"/>
      <c r="Y1492" s="89"/>
      <c r="Z1492" s="89"/>
      <c r="AA1492" s="89"/>
      <c r="AB1492" s="89"/>
      <c r="AC1492" s="89"/>
      <c r="AD1492" s="89"/>
    </row>
    <row r="1493" spans="18:30" x14ac:dyDescent="0.3">
      <c r="R1493" s="89"/>
      <c r="S1493" s="89"/>
      <c r="T1493" s="89"/>
      <c r="U1493" s="89"/>
      <c r="V1493" s="89"/>
      <c r="W1493" s="89"/>
      <c r="X1493" s="89"/>
      <c r="Y1493" s="89"/>
      <c r="Z1493" s="89"/>
      <c r="AA1493" s="89"/>
      <c r="AB1493" s="89"/>
      <c r="AC1493" s="89"/>
      <c r="AD1493" s="89"/>
    </row>
    <row r="1494" spans="18:30" x14ac:dyDescent="0.3">
      <c r="R1494" s="89"/>
      <c r="S1494" s="89"/>
      <c r="T1494" s="89"/>
      <c r="U1494" s="89"/>
      <c r="V1494" s="89"/>
      <c r="W1494" s="89"/>
      <c r="X1494" s="89"/>
      <c r="Y1494" s="89"/>
      <c r="Z1494" s="89"/>
      <c r="AA1494" s="89"/>
      <c r="AB1494" s="89"/>
      <c r="AC1494" s="89"/>
      <c r="AD1494" s="89"/>
    </row>
    <row r="1495" spans="18:30" x14ac:dyDescent="0.3">
      <c r="R1495" s="89"/>
      <c r="S1495" s="89"/>
      <c r="T1495" s="89"/>
      <c r="U1495" s="89"/>
      <c r="V1495" s="89"/>
      <c r="W1495" s="89"/>
      <c r="X1495" s="89"/>
      <c r="Y1495" s="89"/>
      <c r="Z1495" s="89"/>
      <c r="AA1495" s="89"/>
      <c r="AB1495" s="89"/>
      <c r="AC1495" s="89"/>
      <c r="AD1495" s="89"/>
    </row>
    <row r="1496" spans="18:30" x14ac:dyDescent="0.3">
      <c r="R1496" s="89"/>
      <c r="S1496" s="89"/>
      <c r="T1496" s="89"/>
      <c r="U1496" s="89"/>
      <c r="V1496" s="89"/>
      <c r="W1496" s="89"/>
      <c r="X1496" s="89"/>
      <c r="Y1496" s="89"/>
      <c r="Z1496" s="89"/>
      <c r="AA1496" s="89"/>
      <c r="AB1496" s="89"/>
      <c r="AC1496" s="89"/>
      <c r="AD1496" s="89"/>
    </row>
    <row r="1497" spans="18:30" x14ac:dyDescent="0.3">
      <c r="R1497" s="89"/>
      <c r="S1497" s="89"/>
      <c r="T1497" s="89"/>
      <c r="U1497" s="89"/>
      <c r="V1497" s="89"/>
      <c r="W1497" s="89"/>
      <c r="X1497" s="89"/>
      <c r="Y1497" s="89"/>
      <c r="Z1497" s="89"/>
      <c r="AA1497" s="89"/>
      <c r="AB1497" s="89"/>
      <c r="AC1497" s="89"/>
      <c r="AD1497" s="89"/>
    </row>
    <row r="1498" spans="18:30" x14ac:dyDescent="0.3">
      <c r="R1498" s="89"/>
      <c r="S1498" s="89"/>
      <c r="T1498" s="89"/>
      <c r="U1498" s="89"/>
      <c r="V1498" s="89"/>
      <c r="W1498" s="89"/>
      <c r="X1498" s="89"/>
      <c r="Y1498" s="89"/>
      <c r="Z1498" s="89"/>
      <c r="AA1498" s="89"/>
      <c r="AB1498" s="89"/>
      <c r="AC1498" s="89"/>
      <c r="AD1498" s="89"/>
    </row>
    <row r="1499" spans="18:30" x14ac:dyDescent="0.3">
      <c r="R1499" s="89"/>
      <c r="S1499" s="89"/>
      <c r="T1499" s="89"/>
      <c r="U1499" s="89"/>
      <c r="V1499" s="89"/>
      <c r="W1499" s="89"/>
      <c r="X1499" s="89"/>
      <c r="Y1499" s="89"/>
      <c r="Z1499" s="89"/>
      <c r="AA1499" s="89"/>
      <c r="AB1499" s="89"/>
      <c r="AC1499" s="89"/>
      <c r="AD1499" s="89"/>
    </row>
    <row r="1500" spans="18:30" x14ac:dyDescent="0.3">
      <c r="R1500" s="89"/>
      <c r="S1500" s="89"/>
      <c r="T1500" s="89"/>
      <c r="U1500" s="89"/>
      <c r="V1500" s="89"/>
      <c r="W1500" s="89"/>
      <c r="X1500" s="89"/>
      <c r="Y1500" s="89"/>
      <c r="Z1500" s="89"/>
      <c r="AA1500" s="89"/>
      <c r="AB1500" s="89"/>
      <c r="AC1500" s="89"/>
      <c r="AD1500" s="89"/>
    </row>
    <row r="1501" spans="18:30" x14ac:dyDescent="0.3">
      <c r="R1501" s="89"/>
      <c r="S1501" s="89"/>
      <c r="T1501" s="89"/>
      <c r="U1501" s="89"/>
      <c r="V1501" s="89"/>
      <c r="W1501" s="89"/>
      <c r="X1501" s="89"/>
      <c r="Y1501" s="89"/>
      <c r="Z1501" s="89"/>
      <c r="AA1501" s="89"/>
      <c r="AB1501" s="89"/>
      <c r="AC1501" s="89"/>
      <c r="AD1501" s="89"/>
    </row>
    <row r="1502" spans="18:30" x14ac:dyDescent="0.3">
      <c r="R1502" s="89"/>
      <c r="S1502" s="89"/>
      <c r="T1502" s="89"/>
      <c r="U1502" s="89"/>
      <c r="V1502" s="89"/>
      <c r="W1502" s="89"/>
      <c r="X1502" s="89"/>
      <c r="Y1502" s="89"/>
      <c r="Z1502" s="89"/>
      <c r="AA1502" s="89"/>
      <c r="AB1502" s="89"/>
      <c r="AC1502" s="89"/>
      <c r="AD1502" s="89"/>
    </row>
    <row r="1503" spans="18:30" x14ac:dyDescent="0.3">
      <c r="R1503" s="89"/>
      <c r="S1503" s="89"/>
      <c r="T1503" s="89"/>
      <c r="U1503" s="89"/>
      <c r="V1503" s="89"/>
      <c r="W1503" s="89"/>
      <c r="X1503" s="89"/>
      <c r="Y1503" s="89"/>
      <c r="Z1503" s="89"/>
      <c r="AA1503" s="89"/>
      <c r="AB1503" s="89"/>
      <c r="AC1503" s="89"/>
      <c r="AD1503" s="89"/>
    </row>
    <row r="1504" spans="18:30" x14ac:dyDescent="0.3">
      <c r="R1504" s="89"/>
      <c r="S1504" s="89"/>
      <c r="T1504" s="89"/>
      <c r="U1504" s="89"/>
      <c r="V1504" s="89"/>
      <c r="W1504" s="89"/>
      <c r="X1504" s="89"/>
      <c r="Y1504" s="89"/>
      <c r="Z1504" s="89"/>
      <c r="AA1504" s="89"/>
      <c r="AB1504" s="89"/>
      <c r="AC1504" s="89"/>
      <c r="AD1504" s="89"/>
    </row>
    <row r="1505" spans="18:30" x14ac:dyDescent="0.3">
      <c r="R1505" s="89"/>
      <c r="S1505" s="89"/>
      <c r="T1505" s="89"/>
      <c r="U1505" s="89"/>
      <c r="V1505" s="89"/>
      <c r="W1505" s="89"/>
      <c r="X1505" s="89"/>
      <c r="Y1505" s="89"/>
      <c r="Z1505" s="89"/>
      <c r="AA1505" s="89"/>
      <c r="AB1505" s="89"/>
      <c r="AC1505" s="89"/>
      <c r="AD1505" s="89"/>
    </row>
    <row r="1506" spans="18:30" x14ac:dyDescent="0.3">
      <c r="R1506" s="89"/>
      <c r="S1506" s="89"/>
      <c r="T1506" s="89"/>
      <c r="U1506" s="89"/>
      <c r="V1506" s="89"/>
      <c r="W1506" s="89"/>
      <c r="X1506" s="89"/>
      <c r="Y1506" s="89"/>
      <c r="Z1506" s="89"/>
      <c r="AA1506" s="89"/>
      <c r="AB1506" s="89"/>
      <c r="AC1506" s="89"/>
      <c r="AD1506" s="89"/>
    </row>
    <row r="1507" spans="18:30" x14ac:dyDescent="0.3">
      <c r="R1507" s="89"/>
      <c r="S1507" s="89"/>
      <c r="T1507" s="89"/>
      <c r="U1507" s="89"/>
      <c r="V1507" s="89"/>
      <c r="W1507" s="89"/>
      <c r="X1507" s="89"/>
      <c r="Y1507" s="89"/>
      <c r="Z1507" s="89"/>
      <c r="AA1507" s="89"/>
      <c r="AB1507" s="89"/>
      <c r="AC1507" s="89"/>
      <c r="AD1507" s="89"/>
    </row>
    <row r="1508" spans="18:30" x14ac:dyDescent="0.3">
      <c r="R1508" s="89"/>
      <c r="S1508" s="89"/>
      <c r="T1508" s="89"/>
      <c r="U1508" s="89"/>
      <c r="V1508" s="89"/>
      <c r="W1508" s="89"/>
      <c r="X1508" s="89"/>
      <c r="Y1508" s="89"/>
      <c r="Z1508" s="89"/>
      <c r="AA1508" s="89"/>
      <c r="AB1508" s="89"/>
      <c r="AC1508" s="89"/>
      <c r="AD1508" s="89"/>
    </row>
    <row r="1509" spans="18:30" x14ac:dyDescent="0.3">
      <c r="R1509" s="89"/>
      <c r="S1509" s="89"/>
      <c r="T1509" s="89"/>
      <c r="U1509" s="89"/>
      <c r="V1509" s="89"/>
      <c r="W1509" s="89"/>
      <c r="X1509" s="89"/>
      <c r="Y1509" s="89"/>
      <c r="Z1509" s="89"/>
      <c r="AA1509" s="89"/>
      <c r="AB1509" s="89"/>
      <c r="AC1509" s="89"/>
      <c r="AD1509" s="89"/>
    </row>
    <row r="1510" spans="18:30" x14ac:dyDescent="0.3">
      <c r="R1510" s="89"/>
      <c r="S1510" s="89"/>
      <c r="T1510" s="89"/>
      <c r="U1510" s="89"/>
      <c r="V1510" s="89"/>
      <c r="W1510" s="89"/>
      <c r="X1510" s="89"/>
      <c r="Y1510" s="89"/>
      <c r="Z1510" s="89"/>
      <c r="AA1510" s="89"/>
      <c r="AB1510" s="89"/>
      <c r="AC1510" s="89"/>
      <c r="AD1510" s="89"/>
    </row>
    <row r="1511" spans="18:30" x14ac:dyDescent="0.3">
      <c r="R1511" s="89"/>
      <c r="S1511" s="89"/>
      <c r="T1511" s="89"/>
      <c r="U1511" s="89"/>
      <c r="V1511" s="89"/>
      <c r="W1511" s="89"/>
      <c r="X1511" s="89"/>
      <c r="Y1511" s="89"/>
      <c r="Z1511" s="89"/>
      <c r="AA1511" s="89"/>
      <c r="AB1511" s="89"/>
      <c r="AC1511" s="89"/>
      <c r="AD1511" s="89"/>
    </row>
    <row r="1512" spans="18:30" x14ac:dyDescent="0.3">
      <c r="R1512" s="89"/>
      <c r="S1512" s="89"/>
      <c r="T1512" s="89"/>
      <c r="U1512" s="89"/>
      <c r="V1512" s="89"/>
      <c r="W1512" s="89"/>
      <c r="X1512" s="89"/>
      <c r="Y1512" s="89"/>
      <c r="Z1512" s="89"/>
      <c r="AA1512" s="89"/>
      <c r="AB1512" s="89"/>
      <c r="AC1512" s="89"/>
      <c r="AD1512" s="89"/>
    </row>
    <row r="1513" spans="18:30" x14ac:dyDescent="0.3">
      <c r="R1513" s="89"/>
      <c r="S1513" s="89"/>
      <c r="T1513" s="89"/>
      <c r="U1513" s="89"/>
      <c r="V1513" s="89"/>
      <c r="W1513" s="89"/>
      <c r="X1513" s="89"/>
      <c r="Y1513" s="89"/>
      <c r="Z1513" s="89"/>
      <c r="AA1513" s="89"/>
      <c r="AB1513" s="89"/>
      <c r="AC1513" s="89"/>
      <c r="AD1513" s="89"/>
    </row>
    <row r="1514" spans="18:30" x14ac:dyDescent="0.3">
      <c r="R1514" s="89"/>
      <c r="S1514" s="89"/>
      <c r="T1514" s="89"/>
      <c r="U1514" s="89"/>
      <c r="V1514" s="89"/>
      <c r="W1514" s="89"/>
      <c r="X1514" s="89"/>
      <c r="Y1514" s="89"/>
      <c r="Z1514" s="89"/>
      <c r="AA1514" s="89"/>
      <c r="AB1514" s="89"/>
      <c r="AC1514" s="89"/>
      <c r="AD1514" s="89"/>
    </row>
    <row r="1515" spans="18:30" x14ac:dyDescent="0.3">
      <c r="R1515" s="89"/>
      <c r="S1515" s="89"/>
      <c r="T1515" s="89"/>
      <c r="U1515" s="89"/>
      <c r="V1515" s="89"/>
      <c r="W1515" s="89"/>
      <c r="X1515" s="89"/>
      <c r="Y1515" s="89"/>
      <c r="Z1515" s="89"/>
      <c r="AA1515" s="89"/>
      <c r="AB1515" s="89"/>
      <c r="AC1515" s="89"/>
      <c r="AD1515" s="89"/>
    </row>
    <row r="1516" spans="18:30" x14ac:dyDescent="0.3">
      <c r="R1516" s="89"/>
      <c r="S1516" s="89"/>
      <c r="T1516" s="89"/>
      <c r="U1516" s="89"/>
      <c r="V1516" s="89"/>
      <c r="W1516" s="89"/>
      <c r="X1516" s="89"/>
      <c r="Y1516" s="89"/>
      <c r="Z1516" s="89"/>
      <c r="AA1516" s="89"/>
      <c r="AB1516" s="89"/>
      <c r="AC1516" s="89"/>
      <c r="AD1516" s="89"/>
    </row>
    <row r="1517" spans="18:30" x14ac:dyDescent="0.3">
      <c r="R1517" s="89"/>
      <c r="S1517" s="89"/>
      <c r="T1517" s="89"/>
      <c r="U1517" s="89"/>
      <c r="V1517" s="89"/>
      <c r="W1517" s="89"/>
      <c r="X1517" s="89"/>
      <c r="Y1517" s="89"/>
      <c r="Z1517" s="89"/>
      <c r="AA1517" s="89"/>
      <c r="AB1517" s="89"/>
      <c r="AC1517" s="89"/>
      <c r="AD1517" s="89"/>
    </row>
    <row r="1518" spans="18:30" x14ac:dyDescent="0.3">
      <c r="R1518" s="89"/>
      <c r="S1518" s="89"/>
      <c r="T1518" s="89"/>
      <c r="U1518" s="89"/>
      <c r="V1518" s="89"/>
      <c r="W1518" s="89"/>
      <c r="X1518" s="89"/>
      <c r="Y1518" s="89"/>
      <c r="Z1518" s="89"/>
      <c r="AA1518" s="89"/>
      <c r="AB1518" s="89"/>
      <c r="AC1518" s="89"/>
      <c r="AD1518" s="89"/>
    </row>
    <row r="1519" spans="18:30" x14ac:dyDescent="0.3">
      <c r="R1519" s="89"/>
      <c r="S1519" s="89"/>
      <c r="T1519" s="89"/>
      <c r="U1519" s="89"/>
      <c r="V1519" s="89"/>
      <c r="W1519" s="89"/>
      <c r="X1519" s="89"/>
      <c r="Y1519" s="89"/>
      <c r="Z1519" s="89"/>
      <c r="AA1519" s="89"/>
      <c r="AB1519" s="89"/>
      <c r="AC1519" s="89"/>
      <c r="AD1519" s="89"/>
    </row>
    <row r="1520" spans="18:30" x14ac:dyDescent="0.3">
      <c r="R1520" s="89"/>
      <c r="S1520" s="89"/>
      <c r="T1520" s="89"/>
      <c r="U1520" s="89"/>
      <c r="V1520" s="89"/>
      <c r="W1520" s="89"/>
      <c r="X1520" s="89"/>
      <c r="Y1520" s="89"/>
      <c r="Z1520" s="89"/>
      <c r="AA1520" s="89"/>
      <c r="AB1520" s="89"/>
      <c r="AC1520" s="89"/>
      <c r="AD1520" s="89"/>
    </row>
    <row r="1521" spans="18:30" x14ac:dyDescent="0.3">
      <c r="R1521" s="89"/>
      <c r="S1521" s="89"/>
      <c r="T1521" s="89"/>
      <c r="U1521" s="89"/>
      <c r="V1521" s="89"/>
      <c r="W1521" s="89"/>
      <c r="X1521" s="89"/>
      <c r="Y1521" s="89"/>
      <c r="Z1521" s="89"/>
      <c r="AA1521" s="89"/>
      <c r="AB1521" s="89"/>
      <c r="AC1521" s="89"/>
      <c r="AD1521" s="89"/>
    </row>
    <row r="1522" spans="18:30" x14ac:dyDescent="0.3">
      <c r="R1522" s="89"/>
      <c r="S1522" s="89"/>
      <c r="T1522" s="89"/>
      <c r="U1522" s="89"/>
      <c r="V1522" s="89"/>
      <c r="W1522" s="89"/>
      <c r="X1522" s="89"/>
      <c r="Y1522" s="89"/>
      <c r="Z1522" s="89"/>
      <c r="AA1522" s="89"/>
      <c r="AB1522" s="89"/>
      <c r="AC1522" s="89"/>
      <c r="AD1522" s="89"/>
    </row>
    <row r="1523" spans="18:30" x14ac:dyDescent="0.3">
      <c r="R1523" s="89"/>
      <c r="S1523" s="89"/>
      <c r="T1523" s="89"/>
      <c r="U1523" s="89"/>
      <c r="V1523" s="89"/>
      <c r="W1523" s="89"/>
      <c r="X1523" s="89"/>
      <c r="Y1523" s="89"/>
      <c r="Z1523" s="89"/>
      <c r="AA1523" s="89"/>
      <c r="AB1523" s="89"/>
      <c r="AC1523" s="89"/>
      <c r="AD1523" s="89"/>
    </row>
    <row r="1524" spans="18:30" x14ac:dyDescent="0.3">
      <c r="R1524" s="89"/>
      <c r="S1524" s="89"/>
      <c r="T1524" s="89"/>
      <c r="U1524" s="89"/>
      <c r="V1524" s="89"/>
      <c r="W1524" s="89"/>
      <c r="X1524" s="89"/>
      <c r="Y1524" s="89"/>
      <c r="Z1524" s="89"/>
      <c r="AA1524" s="89"/>
      <c r="AB1524" s="89"/>
      <c r="AC1524" s="89"/>
      <c r="AD1524" s="89"/>
    </row>
    <row r="1525" spans="18:30" x14ac:dyDescent="0.3">
      <c r="R1525" s="89"/>
      <c r="S1525" s="89"/>
      <c r="T1525" s="89"/>
      <c r="U1525" s="89"/>
      <c r="V1525" s="89"/>
      <c r="W1525" s="89"/>
      <c r="X1525" s="89"/>
      <c r="Y1525" s="89"/>
      <c r="Z1525" s="89"/>
      <c r="AA1525" s="89"/>
      <c r="AB1525" s="89"/>
      <c r="AC1525" s="89"/>
      <c r="AD1525" s="89"/>
    </row>
    <row r="1526" spans="18:30" x14ac:dyDescent="0.3">
      <c r="R1526" s="89"/>
      <c r="S1526" s="89"/>
      <c r="T1526" s="89"/>
      <c r="U1526" s="89"/>
      <c r="V1526" s="89"/>
      <c r="W1526" s="89"/>
      <c r="X1526" s="89"/>
      <c r="Y1526" s="89"/>
      <c r="Z1526" s="89"/>
      <c r="AA1526" s="89"/>
      <c r="AB1526" s="89"/>
      <c r="AC1526" s="89"/>
      <c r="AD1526" s="89"/>
    </row>
    <row r="1527" spans="18:30" x14ac:dyDescent="0.3">
      <c r="R1527" s="89"/>
      <c r="S1527" s="89"/>
      <c r="T1527" s="89"/>
      <c r="U1527" s="89"/>
      <c r="V1527" s="89"/>
      <c r="W1527" s="89"/>
      <c r="X1527" s="89"/>
      <c r="Y1527" s="89"/>
      <c r="Z1527" s="89"/>
      <c r="AA1527" s="89"/>
      <c r="AB1527" s="89"/>
      <c r="AC1527" s="89"/>
      <c r="AD1527" s="89"/>
    </row>
    <row r="1528" spans="18:30" x14ac:dyDescent="0.3">
      <c r="R1528" s="89"/>
      <c r="S1528" s="89"/>
      <c r="T1528" s="89"/>
      <c r="U1528" s="89"/>
      <c r="V1528" s="89"/>
      <c r="W1528" s="89"/>
      <c r="X1528" s="89"/>
      <c r="Y1528" s="89"/>
      <c r="Z1528" s="89"/>
      <c r="AA1528" s="89"/>
      <c r="AB1528" s="89"/>
      <c r="AC1528" s="89"/>
      <c r="AD1528" s="89"/>
    </row>
    <row r="1529" spans="18:30" x14ac:dyDescent="0.3">
      <c r="R1529" s="89"/>
      <c r="S1529" s="89"/>
      <c r="T1529" s="89"/>
      <c r="U1529" s="89"/>
      <c r="V1529" s="89"/>
      <c r="W1529" s="89"/>
      <c r="X1529" s="89"/>
      <c r="Y1529" s="89"/>
      <c r="Z1529" s="89"/>
      <c r="AA1529" s="89"/>
      <c r="AB1529" s="89"/>
      <c r="AC1529" s="89"/>
      <c r="AD1529" s="89"/>
    </row>
    <row r="1530" spans="18:30" x14ac:dyDescent="0.3">
      <c r="R1530" s="89"/>
      <c r="S1530" s="89"/>
      <c r="T1530" s="89"/>
      <c r="U1530" s="89"/>
      <c r="V1530" s="89"/>
      <c r="W1530" s="89"/>
      <c r="X1530" s="89"/>
      <c r="Y1530" s="89"/>
      <c r="Z1530" s="89"/>
      <c r="AA1530" s="89"/>
      <c r="AB1530" s="89"/>
      <c r="AC1530" s="89"/>
      <c r="AD1530" s="89"/>
    </row>
    <row r="1531" spans="18:30" x14ac:dyDescent="0.3">
      <c r="R1531" s="89"/>
      <c r="S1531" s="89"/>
      <c r="T1531" s="89"/>
      <c r="U1531" s="89"/>
      <c r="V1531" s="89"/>
      <c r="W1531" s="89"/>
      <c r="X1531" s="89"/>
      <c r="Y1531" s="89"/>
      <c r="Z1531" s="89"/>
      <c r="AA1531" s="89"/>
      <c r="AB1531" s="89"/>
      <c r="AC1531" s="89"/>
      <c r="AD1531" s="89"/>
    </row>
    <row r="1532" spans="18:30" x14ac:dyDescent="0.3">
      <c r="R1532" s="89"/>
      <c r="S1532" s="89"/>
      <c r="T1532" s="89"/>
      <c r="U1532" s="89"/>
      <c r="V1532" s="89"/>
      <c r="W1532" s="89"/>
      <c r="X1532" s="89"/>
      <c r="Y1532" s="89"/>
      <c r="Z1532" s="89"/>
      <c r="AA1532" s="89"/>
      <c r="AB1532" s="89"/>
      <c r="AC1532" s="89"/>
      <c r="AD1532" s="89"/>
    </row>
    <row r="1533" spans="18:30" x14ac:dyDescent="0.3">
      <c r="R1533" s="89"/>
      <c r="S1533" s="89"/>
      <c r="T1533" s="89"/>
      <c r="U1533" s="89"/>
      <c r="V1533" s="89"/>
      <c r="W1533" s="89"/>
      <c r="X1533" s="89"/>
      <c r="Y1533" s="89"/>
      <c r="Z1533" s="89"/>
      <c r="AA1533" s="89"/>
      <c r="AB1533" s="89"/>
      <c r="AC1533" s="89"/>
      <c r="AD1533" s="89"/>
    </row>
    <row r="1534" spans="18:30" x14ac:dyDescent="0.3">
      <c r="R1534" s="89"/>
      <c r="S1534" s="89"/>
      <c r="T1534" s="89"/>
      <c r="U1534" s="89"/>
      <c r="V1534" s="89"/>
      <c r="W1534" s="89"/>
      <c r="X1534" s="89"/>
      <c r="Y1534" s="89"/>
      <c r="Z1534" s="89"/>
      <c r="AA1534" s="89"/>
      <c r="AB1534" s="89"/>
      <c r="AC1534" s="89"/>
      <c r="AD1534" s="89"/>
    </row>
    <row r="1535" spans="18:30" x14ac:dyDescent="0.3">
      <c r="R1535" s="89"/>
      <c r="S1535" s="89"/>
      <c r="T1535" s="89"/>
      <c r="U1535" s="89"/>
      <c r="V1535" s="89"/>
      <c r="W1535" s="89"/>
      <c r="X1535" s="89"/>
      <c r="Y1535" s="89"/>
      <c r="Z1535" s="89"/>
      <c r="AA1535" s="89"/>
      <c r="AB1535" s="89"/>
      <c r="AC1535" s="89"/>
      <c r="AD1535" s="89"/>
    </row>
    <row r="1536" spans="18:30" x14ac:dyDescent="0.3">
      <c r="R1536" s="89"/>
      <c r="S1536" s="89"/>
      <c r="T1536" s="89"/>
      <c r="U1536" s="89"/>
      <c r="V1536" s="89"/>
      <c r="W1536" s="89"/>
      <c r="X1536" s="89"/>
      <c r="Y1536" s="89"/>
      <c r="Z1536" s="89"/>
      <c r="AA1536" s="89"/>
      <c r="AB1536" s="89"/>
      <c r="AC1536" s="89"/>
      <c r="AD1536" s="89"/>
    </row>
    <row r="1537" spans="18:30" x14ac:dyDescent="0.3">
      <c r="R1537" s="89"/>
      <c r="S1537" s="89"/>
      <c r="T1537" s="89"/>
      <c r="U1537" s="89"/>
      <c r="V1537" s="89"/>
      <c r="W1537" s="89"/>
      <c r="X1537" s="89"/>
      <c r="Y1537" s="89"/>
      <c r="Z1537" s="89"/>
      <c r="AA1537" s="89"/>
      <c r="AB1537" s="89"/>
      <c r="AC1537" s="89"/>
      <c r="AD1537" s="89"/>
    </row>
    <row r="1538" spans="18:30" x14ac:dyDescent="0.3">
      <c r="R1538" s="89"/>
      <c r="S1538" s="89"/>
      <c r="T1538" s="89"/>
      <c r="U1538" s="89"/>
      <c r="V1538" s="89"/>
      <c r="W1538" s="89"/>
      <c r="X1538" s="89"/>
      <c r="Y1538" s="89"/>
      <c r="Z1538" s="89"/>
      <c r="AA1538" s="89"/>
      <c r="AB1538" s="89"/>
      <c r="AC1538" s="89"/>
      <c r="AD1538" s="89"/>
    </row>
    <row r="1539" spans="18:30" x14ac:dyDescent="0.3">
      <c r="R1539" s="89"/>
      <c r="S1539" s="89"/>
      <c r="T1539" s="89"/>
      <c r="U1539" s="89"/>
      <c r="V1539" s="89"/>
      <c r="W1539" s="89"/>
      <c r="X1539" s="89"/>
      <c r="Y1539" s="89"/>
      <c r="Z1539" s="89"/>
      <c r="AA1539" s="89"/>
      <c r="AB1539" s="89"/>
      <c r="AC1539" s="89"/>
      <c r="AD1539" s="89"/>
    </row>
    <row r="1540" spans="18:30" x14ac:dyDescent="0.3">
      <c r="R1540" s="89"/>
      <c r="S1540" s="89"/>
      <c r="T1540" s="89"/>
      <c r="U1540" s="89"/>
      <c r="V1540" s="89"/>
      <c r="W1540" s="89"/>
      <c r="X1540" s="89"/>
      <c r="Y1540" s="89"/>
      <c r="Z1540" s="89"/>
      <c r="AA1540" s="89"/>
      <c r="AB1540" s="89"/>
      <c r="AC1540" s="89"/>
      <c r="AD1540" s="89"/>
    </row>
    <row r="1541" spans="18:30" x14ac:dyDescent="0.3">
      <c r="R1541" s="89"/>
      <c r="S1541" s="89"/>
      <c r="T1541" s="89"/>
      <c r="U1541" s="89"/>
      <c r="V1541" s="89"/>
      <c r="W1541" s="89"/>
      <c r="X1541" s="89"/>
      <c r="Y1541" s="89"/>
      <c r="Z1541" s="89"/>
      <c r="AA1541" s="89"/>
      <c r="AB1541" s="89"/>
      <c r="AC1541" s="89"/>
      <c r="AD1541" s="89"/>
    </row>
    <row r="1542" spans="18:30" x14ac:dyDescent="0.3">
      <c r="R1542" s="89"/>
      <c r="S1542" s="89"/>
      <c r="T1542" s="89"/>
      <c r="U1542" s="89"/>
      <c r="V1542" s="89"/>
      <c r="W1542" s="89"/>
      <c r="X1542" s="89"/>
      <c r="Y1542" s="89"/>
      <c r="Z1542" s="89"/>
      <c r="AA1542" s="89"/>
      <c r="AB1542" s="89"/>
      <c r="AC1542" s="89"/>
      <c r="AD1542" s="89"/>
    </row>
    <row r="1543" spans="18:30" x14ac:dyDescent="0.3">
      <c r="R1543" s="89"/>
      <c r="S1543" s="89"/>
      <c r="T1543" s="89"/>
      <c r="U1543" s="89"/>
      <c r="V1543" s="89"/>
      <c r="W1543" s="89"/>
      <c r="X1543" s="89"/>
      <c r="Y1543" s="89"/>
      <c r="Z1543" s="89"/>
      <c r="AA1543" s="89"/>
      <c r="AB1543" s="89"/>
      <c r="AC1543" s="89"/>
      <c r="AD1543" s="89"/>
    </row>
    <row r="1544" spans="18:30" x14ac:dyDescent="0.3">
      <c r="R1544" s="89"/>
      <c r="S1544" s="89"/>
      <c r="T1544" s="89"/>
      <c r="U1544" s="89"/>
      <c r="V1544" s="89"/>
      <c r="W1544" s="89"/>
      <c r="X1544" s="89"/>
      <c r="Y1544" s="89"/>
      <c r="Z1544" s="89"/>
      <c r="AA1544" s="89"/>
      <c r="AB1544" s="89"/>
      <c r="AC1544" s="89"/>
      <c r="AD1544" s="89"/>
    </row>
    <row r="1545" spans="18:30" x14ac:dyDescent="0.3">
      <c r="R1545" s="89"/>
      <c r="S1545" s="89"/>
      <c r="T1545" s="89"/>
      <c r="U1545" s="89"/>
      <c r="V1545" s="89"/>
      <c r="W1545" s="89"/>
      <c r="X1545" s="89"/>
      <c r="Y1545" s="89"/>
      <c r="Z1545" s="89"/>
      <c r="AA1545" s="89"/>
      <c r="AB1545" s="89"/>
      <c r="AC1545" s="89"/>
      <c r="AD1545" s="89"/>
    </row>
    <row r="1546" spans="18:30" x14ac:dyDescent="0.3">
      <c r="R1546" s="89"/>
      <c r="S1546" s="89"/>
      <c r="T1546" s="89"/>
      <c r="U1546" s="89"/>
      <c r="V1546" s="89"/>
      <c r="W1546" s="89"/>
      <c r="X1546" s="89"/>
      <c r="Y1546" s="89"/>
      <c r="Z1546" s="89"/>
      <c r="AA1546" s="89"/>
      <c r="AB1546" s="89"/>
      <c r="AC1546" s="89"/>
      <c r="AD1546" s="89"/>
    </row>
    <row r="1547" spans="18:30" x14ac:dyDescent="0.3">
      <c r="R1547" s="89"/>
      <c r="S1547" s="89"/>
      <c r="T1547" s="89"/>
      <c r="U1547" s="89"/>
      <c r="V1547" s="89"/>
      <c r="W1547" s="89"/>
      <c r="X1547" s="89"/>
      <c r="Y1547" s="89"/>
      <c r="Z1547" s="89"/>
      <c r="AA1547" s="89"/>
      <c r="AB1547" s="89"/>
      <c r="AC1547" s="89"/>
      <c r="AD1547" s="89"/>
    </row>
    <row r="1548" spans="18:30" x14ac:dyDescent="0.3">
      <c r="R1548" s="89"/>
      <c r="S1548" s="89"/>
      <c r="T1548" s="89"/>
      <c r="U1548" s="89"/>
      <c r="V1548" s="89"/>
      <c r="W1548" s="89"/>
      <c r="X1548" s="89"/>
      <c r="Y1548" s="89"/>
      <c r="Z1548" s="89"/>
      <c r="AA1548" s="89"/>
      <c r="AB1548" s="89"/>
      <c r="AC1548" s="89"/>
      <c r="AD1548" s="89"/>
    </row>
    <row r="1549" spans="18:30" x14ac:dyDescent="0.3">
      <c r="R1549" s="89"/>
      <c r="S1549" s="89"/>
      <c r="T1549" s="89"/>
      <c r="U1549" s="89"/>
      <c r="V1549" s="89"/>
      <c r="W1549" s="89"/>
      <c r="X1549" s="89"/>
      <c r="Y1549" s="89"/>
      <c r="Z1549" s="89"/>
      <c r="AA1549" s="89"/>
      <c r="AB1549" s="89"/>
      <c r="AC1549" s="89"/>
      <c r="AD1549" s="89"/>
    </row>
    <row r="1550" spans="18:30" x14ac:dyDescent="0.3">
      <c r="R1550" s="89"/>
      <c r="S1550" s="89"/>
      <c r="T1550" s="89"/>
      <c r="U1550" s="89"/>
      <c r="V1550" s="89"/>
      <c r="W1550" s="89"/>
      <c r="X1550" s="89"/>
      <c r="Y1550" s="89"/>
      <c r="Z1550" s="89"/>
      <c r="AA1550" s="89"/>
      <c r="AB1550" s="89"/>
      <c r="AC1550" s="89"/>
      <c r="AD1550" s="89"/>
    </row>
    <row r="1551" spans="18:30" x14ac:dyDescent="0.3">
      <c r="R1551" s="89"/>
      <c r="S1551" s="89"/>
      <c r="T1551" s="89"/>
      <c r="U1551" s="89"/>
      <c r="V1551" s="89"/>
      <c r="W1551" s="89"/>
      <c r="X1551" s="89"/>
      <c r="Y1551" s="89"/>
      <c r="Z1551" s="89"/>
      <c r="AA1551" s="89"/>
      <c r="AB1551" s="89"/>
      <c r="AC1551" s="89"/>
      <c r="AD1551" s="89"/>
    </row>
    <row r="1552" spans="18:30" x14ac:dyDescent="0.3">
      <c r="R1552" s="89"/>
      <c r="S1552" s="89"/>
      <c r="T1552" s="89"/>
      <c r="U1552" s="89"/>
      <c r="V1552" s="89"/>
      <c r="W1552" s="89"/>
      <c r="X1552" s="89"/>
      <c r="Y1552" s="89"/>
      <c r="Z1552" s="89"/>
      <c r="AA1552" s="89"/>
      <c r="AB1552" s="89"/>
      <c r="AC1552" s="89"/>
      <c r="AD1552" s="89"/>
    </row>
    <row r="1553" spans="18:30" x14ac:dyDescent="0.3">
      <c r="R1553" s="89"/>
      <c r="S1553" s="89"/>
      <c r="T1553" s="89"/>
      <c r="U1553" s="89"/>
      <c r="V1553" s="89"/>
      <c r="W1553" s="89"/>
      <c r="X1553" s="89"/>
      <c r="Y1553" s="89"/>
      <c r="Z1553" s="89"/>
      <c r="AA1553" s="89"/>
      <c r="AB1553" s="89"/>
      <c r="AC1553" s="89"/>
      <c r="AD1553" s="89"/>
    </row>
    <row r="1554" spans="18:30" x14ac:dyDescent="0.3">
      <c r="R1554" s="89"/>
      <c r="S1554" s="89"/>
      <c r="T1554" s="89"/>
      <c r="U1554" s="89"/>
      <c r="V1554" s="89"/>
      <c r="W1554" s="89"/>
      <c r="X1554" s="89"/>
      <c r="Y1554" s="89"/>
      <c r="Z1554" s="89"/>
      <c r="AA1554" s="89"/>
      <c r="AB1554" s="89"/>
      <c r="AC1554" s="89"/>
      <c r="AD1554" s="89"/>
    </row>
    <row r="1555" spans="18:30" x14ac:dyDescent="0.3">
      <c r="R1555" s="89"/>
      <c r="S1555" s="89"/>
      <c r="T1555" s="89"/>
      <c r="U1555" s="89"/>
      <c r="V1555" s="89"/>
      <c r="W1555" s="89"/>
      <c r="X1555" s="89"/>
      <c r="Y1555" s="89"/>
      <c r="Z1555" s="89"/>
      <c r="AA1555" s="89"/>
      <c r="AB1555" s="89"/>
      <c r="AC1555" s="89"/>
      <c r="AD1555" s="89"/>
    </row>
    <row r="1556" spans="18:30" x14ac:dyDescent="0.3">
      <c r="R1556" s="89"/>
      <c r="S1556" s="89"/>
      <c r="T1556" s="89"/>
      <c r="U1556" s="89"/>
      <c r="V1556" s="89"/>
      <c r="W1556" s="89"/>
      <c r="X1556" s="89"/>
      <c r="Y1556" s="89"/>
      <c r="Z1556" s="89"/>
      <c r="AA1556" s="89"/>
      <c r="AB1556" s="89"/>
      <c r="AC1556" s="89"/>
      <c r="AD1556" s="89"/>
    </row>
    <row r="1557" spans="18:30" x14ac:dyDescent="0.3">
      <c r="R1557" s="89"/>
      <c r="S1557" s="89"/>
      <c r="T1557" s="89"/>
      <c r="U1557" s="89"/>
      <c r="V1557" s="89"/>
      <c r="W1557" s="89"/>
      <c r="X1557" s="89"/>
      <c r="Y1557" s="89"/>
      <c r="Z1557" s="89"/>
      <c r="AA1557" s="89"/>
      <c r="AB1557" s="89"/>
      <c r="AC1557" s="89"/>
      <c r="AD1557" s="89"/>
    </row>
    <row r="1558" spans="18:30" x14ac:dyDescent="0.3">
      <c r="R1558" s="89"/>
      <c r="S1558" s="89"/>
      <c r="T1558" s="89"/>
      <c r="U1558" s="89"/>
      <c r="V1558" s="89"/>
      <c r="W1558" s="89"/>
      <c r="X1558" s="89"/>
      <c r="Y1558" s="89"/>
      <c r="Z1558" s="89"/>
      <c r="AA1558" s="89"/>
      <c r="AB1558" s="89"/>
      <c r="AC1558" s="89"/>
      <c r="AD1558" s="89"/>
    </row>
    <row r="1559" spans="18:30" x14ac:dyDescent="0.3">
      <c r="R1559" s="89"/>
      <c r="S1559" s="89"/>
      <c r="T1559" s="89"/>
      <c r="U1559" s="89"/>
      <c r="V1559" s="89"/>
      <c r="W1559" s="89"/>
      <c r="X1559" s="89"/>
      <c r="Y1559" s="89"/>
      <c r="Z1559" s="89"/>
      <c r="AA1559" s="89"/>
      <c r="AB1559" s="89"/>
      <c r="AC1559" s="89"/>
      <c r="AD1559" s="89"/>
    </row>
    <row r="1560" spans="18:30" x14ac:dyDescent="0.3">
      <c r="R1560" s="89"/>
      <c r="S1560" s="89"/>
      <c r="T1560" s="89"/>
      <c r="U1560" s="89"/>
      <c r="V1560" s="89"/>
      <c r="W1560" s="89"/>
      <c r="X1560" s="89"/>
      <c r="Y1560" s="89"/>
      <c r="Z1560" s="89"/>
      <c r="AA1560" s="89"/>
      <c r="AB1560" s="89"/>
      <c r="AC1560" s="89"/>
      <c r="AD1560" s="89"/>
    </row>
    <row r="1561" spans="18:30" x14ac:dyDescent="0.3">
      <c r="R1561" s="89"/>
      <c r="S1561" s="89"/>
      <c r="T1561" s="89"/>
      <c r="U1561" s="89"/>
      <c r="V1561" s="89"/>
      <c r="W1561" s="89"/>
      <c r="X1561" s="89"/>
      <c r="Y1561" s="89"/>
      <c r="Z1561" s="89"/>
      <c r="AA1561" s="89"/>
      <c r="AB1561" s="89"/>
      <c r="AC1561" s="89"/>
      <c r="AD1561" s="89"/>
    </row>
    <row r="1562" spans="18:30" x14ac:dyDescent="0.3">
      <c r="R1562" s="89"/>
      <c r="S1562" s="89"/>
      <c r="T1562" s="89"/>
      <c r="U1562" s="89"/>
      <c r="V1562" s="89"/>
      <c r="W1562" s="89"/>
      <c r="X1562" s="89"/>
      <c r="Y1562" s="89"/>
      <c r="Z1562" s="89"/>
      <c r="AA1562" s="89"/>
      <c r="AB1562" s="89"/>
      <c r="AC1562" s="89"/>
      <c r="AD1562" s="89"/>
    </row>
    <row r="1563" spans="18:30" x14ac:dyDescent="0.3">
      <c r="R1563" s="89"/>
      <c r="S1563" s="89"/>
      <c r="T1563" s="89"/>
      <c r="U1563" s="89"/>
      <c r="V1563" s="89"/>
      <c r="W1563" s="89"/>
      <c r="X1563" s="89"/>
      <c r="Y1563" s="89"/>
      <c r="Z1563" s="89"/>
      <c r="AA1563" s="89"/>
      <c r="AB1563" s="89"/>
      <c r="AC1563" s="89"/>
      <c r="AD1563" s="89"/>
    </row>
    <row r="1564" spans="18:30" x14ac:dyDescent="0.3">
      <c r="R1564" s="89"/>
      <c r="S1564" s="89"/>
      <c r="T1564" s="89"/>
      <c r="U1564" s="89"/>
      <c r="V1564" s="89"/>
      <c r="W1564" s="89"/>
      <c r="X1564" s="89"/>
      <c r="Y1564" s="89"/>
      <c r="Z1564" s="89"/>
      <c r="AA1564" s="89"/>
      <c r="AB1564" s="89"/>
      <c r="AC1564" s="89"/>
      <c r="AD1564" s="89"/>
    </row>
    <row r="1565" spans="18:30" x14ac:dyDescent="0.3">
      <c r="R1565" s="89"/>
      <c r="S1565" s="89"/>
      <c r="T1565" s="89"/>
      <c r="U1565" s="89"/>
      <c r="V1565" s="89"/>
      <c r="W1565" s="89"/>
      <c r="X1565" s="89"/>
      <c r="Y1565" s="89"/>
      <c r="Z1565" s="89"/>
      <c r="AA1565" s="89"/>
      <c r="AB1565" s="89"/>
      <c r="AC1565" s="89"/>
      <c r="AD1565" s="89"/>
    </row>
    <row r="1566" spans="18:30" x14ac:dyDescent="0.3">
      <c r="R1566" s="89"/>
      <c r="S1566" s="89"/>
      <c r="T1566" s="89"/>
      <c r="U1566" s="89"/>
      <c r="V1566" s="89"/>
      <c r="W1566" s="89"/>
      <c r="X1566" s="89"/>
      <c r="Y1566" s="89"/>
      <c r="Z1566" s="89"/>
      <c r="AA1566" s="89"/>
      <c r="AB1566" s="89"/>
      <c r="AC1566" s="89"/>
      <c r="AD1566" s="89"/>
    </row>
    <row r="1567" spans="18:30" x14ac:dyDescent="0.3">
      <c r="R1567" s="89"/>
      <c r="S1567" s="89"/>
      <c r="T1567" s="89"/>
      <c r="U1567" s="89"/>
      <c r="V1567" s="89"/>
      <c r="W1567" s="89"/>
      <c r="X1567" s="89"/>
      <c r="Y1567" s="89"/>
      <c r="Z1567" s="89"/>
      <c r="AA1567" s="89"/>
      <c r="AB1567" s="89"/>
      <c r="AC1567" s="89"/>
      <c r="AD1567" s="89"/>
    </row>
    <row r="1568" spans="18:30" x14ac:dyDescent="0.3">
      <c r="R1568" s="89"/>
      <c r="S1568" s="89"/>
      <c r="T1568" s="89"/>
      <c r="U1568" s="89"/>
      <c r="V1568" s="89"/>
      <c r="W1568" s="89"/>
      <c r="X1568" s="89"/>
      <c r="Y1568" s="89"/>
      <c r="Z1568" s="89"/>
      <c r="AA1568" s="89"/>
      <c r="AB1568" s="89"/>
      <c r="AC1568" s="89"/>
      <c r="AD1568" s="89"/>
    </row>
    <row r="1569" spans="18:30" x14ac:dyDescent="0.3">
      <c r="R1569" s="89"/>
      <c r="S1569" s="89"/>
      <c r="T1569" s="89"/>
      <c r="U1569" s="89"/>
      <c r="V1569" s="89"/>
      <c r="W1569" s="89"/>
      <c r="X1569" s="89"/>
      <c r="Y1569" s="89"/>
      <c r="Z1569" s="89"/>
      <c r="AA1569" s="89"/>
      <c r="AB1569" s="89"/>
      <c r="AC1569" s="89"/>
      <c r="AD1569" s="89"/>
    </row>
    <row r="1570" spans="18:30" x14ac:dyDescent="0.3">
      <c r="R1570" s="89"/>
      <c r="S1570" s="89"/>
      <c r="T1570" s="89"/>
      <c r="U1570" s="89"/>
      <c r="V1570" s="89"/>
      <c r="W1570" s="89"/>
      <c r="X1570" s="89"/>
      <c r="Y1570" s="89"/>
      <c r="Z1570" s="89"/>
      <c r="AA1570" s="89"/>
      <c r="AB1570" s="89"/>
      <c r="AC1570" s="89"/>
      <c r="AD1570" s="89"/>
    </row>
    <row r="1571" spans="18:30" x14ac:dyDescent="0.3">
      <c r="R1571" s="89"/>
      <c r="S1571" s="89"/>
      <c r="T1571" s="89"/>
      <c r="U1571" s="89"/>
      <c r="V1571" s="89"/>
      <c r="W1571" s="89"/>
      <c r="X1571" s="89"/>
      <c r="Y1571" s="89"/>
      <c r="Z1571" s="89"/>
      <c r="AA1571" s="89"/>
      <c r="AB1571" s="89"/>
      <c r="AC1571" s="89"/>
      <c r="AD1571" s="89"/>
    </row>
    <row r="1572" spans="18:30" x14ac:dyDescent="0.3">
      <c r="R1572" s="89"/>
      <c r="S1572" s="89"/>
      <c r="T1572" s="89"/>
      <c r="U1572" s="89"/>
      <c r="V1572" s="89"/>
      <c r="W1572" s="89"/>
      <c r="X1572" s="89"/>
      <c r="Y1572" s="89"/>
      <c r="Z1572" s="89"/>
      <c r="AA1572" s="89"/>
      <c r="AB1572" s="89"/>
      <c r="AC1572" s="89"/>
      <c r="AD1572" s="89"/>
    </row>
    <row r="1573" spans="18:30" x14ac:dyDescent="0.3">
      <c r="R1573" s="89"/>
      <c r="S1573" s="89"/>
      <c r="T1573" s="89"/>
      <c r="U1573" s="89"/>
      <c r="V1573" s="89"/>
      <c r="W1573" s="89"/>
      <c r="X1573" s="89"/>
      <c r="Y1573" s="89"/>
      <c r="Z1573" s="89"/>
      <c r="AA1573" s="89"/>
      <c r="AB1573" s="89"/>
      <c r="AC1573" s="89"/>
      <c r="AD1573" s="89"/>
    </row>
    <row r="1574" spans="18:30" x14ac:dyDescent="0.3">
      <c r="R1574" s="89"/>
      <c r="S1574" s="89"/>
      <c r="T1574" s="89"/>
      <c r="U1574" s="89"/>
      <c r="V1574" s="89"/>
      <c r="W1574" s="89"/>
      <c r="X1574" s="89"/>
      <c r="Y1574" s="89"/>
      <c r="Z1574" s="89"/>
      <c r="AA1574" s="89"/>
      <c r="AB1574" s="89"/>
      <c r="AC1574" s="89"/>
      <c r="AD1574" s="89"/>
    </row>
    <row r="1575" spans="18:30" x14ac:dyDescent="0.3">
      <c r="R1575" s="89"/>
      <c r="S1575" s="89"/>
      <c r="T1575" s="89"/>
      <c r="U1575" s="89"/>
      <c r="V1575" s="89"/>
      <c r="W1575" s="89"/>
      <c r="X1575" s="89"/>
      <c r="Y1575" s="89"/>
      <c r="Z1575" s="89"/>
      <c r="AA1575" s="89"/>
      <c r="AB1575" s="89"/>
      <c r="AC1575" s="89"/>
      <c r="AD1575" s="89"/>
    </row>
    <row r="1576" spans="18:30" x14ac:dyDescent="0.3">
      <c r="R1576" s="89"/>
      <c r="S1576" s="89"/>
      <c r="T1576" s="89"/>
      <c r="U1576" s="89"/>
      <c r="V1576" s="89"/>
      <c r="W1576" s="89"/>
      <c r="X1576" s="89"/>
      <c r="Y1576" s="89"/>
      <c r="Z1576" s="89"/>
      <c r="AA1576" s="89"/>
      <c r="AB1576" s="89"/>
      <c r="AC1576" s="89"/>
      <c r="AD1576" s="89"/>
    </row>
    <row r="1577" spans="18:30" x14ac:dyDescent="0.3">
      <c r="R1577" s="89"/>
      <c r="S1577" s="89"/>
      <c r="T1577" s="89"/>
      <c r="U1577" s="89"/>
      <c r="V1577" s="89"/>
      <c r="W1577" s="89"/>
      <c r="X1577" s="89"/>
      <c r="Y1577" s="89"/>
      <c r="Z1577" s="89"/>
      <c r="AA1577" s="89"/>
      <c r="AB1577" s="89"/>
      <c r="AC1577" s="89"/>
      <c r="AD1577" s="89"/>
    </row>
    <row r="1578" spans="18:30" x14ac:dyDescent="0.3">
      <c r="R1578" s="89"/>
      <c r="S1578" s="89"/>
      <c r="T1578" s="89"/>
      <c r="U1578" s="89"/>
      <c r="V1578" s="89"/>
      <c r="W1578" s="89"/>
      <c r="X1578" s="89"/>
      <c r="Y1578" s="89"/>
      <c r="Z1578" s="89"/>
      <c r="AA1578" s="89"/>
      <c r="AB1578" s="89"/>
      <c r="AC1578" s="89"/>
      <c r="AD1578" s="89"/>
    </row>
    <row r="1579" spans="18:30" x14ac:dyDescent="0.3">
      <c r="R1579" s="89"/>
      <c r="S1579" s="89"/>
      <c r="T1579" s="89"/>
      <c r="U1579" s="89"/>
      <c r="V1579" s="89"/>
      <c r="W1579" s="89"/>
      <c r="X1579" s="89"/>
      <c r="Y1579" s="89"/>
      <c r="Z1579" s="89"/>
      <c r="AA1579" s="89"/>
      <c r="AB1579" s="89"/>
      <c r="AC1579" s="89"/>
      <c r="AD1579" s="89"/>
    </row>
    <row r="1580" spans="18:30" x14ac:dyDescent="0.3">
      <c r="R1580" s="89"/>
      <c r="S1580" s="89"/>
      <c r="T1580" s="89"/>
      <c r="U1580" s="89"/>
      <c r="V1580" s="89"/>
      <c r="W1580" s="89"/>
      <c r="X1580" s="89"/>
      <c r="Y1580" s="89"/>
      <c r="Z1580" s="89"/>
      <c r="AA1580" s="89"/>
      <c r="AB1580" s="89"/>
      <c r="AC1580" s="89"/>
      <c r="AD1580" s="89"/>
    </row>
    <row r="1581" spans="18:30" x14ac:dyDescent="0.3">
      <c r="R1581" s="89"/>
      <c r="S1581" s="89"/>
      <c r="T1581" s="89"/>
      <c r="U1581" s="89"/>
      <c r="V1581" s="89"/>
      <c r="W1581" s="89"/>
      <c r="X1581" s="89"/>
      <c r="Y1581" s="89"/>
      <c r="Z1581" s="89"/>
      <c r="AA1581" s="89"/>
      <c r="AB1581" s="89"/>
      <c r="AC1581" s="89"/>
      <c r="AD1581" s="89"/>
    </row>
    <row r="1582" spans="18:30" x14ac:dyDescent="0.3">
      <c r="R1582" s="89"/>
      <c r="S1582" s="89"/>
      <c r="T1582" s="89"/>
      <c r="U1582" s="89"/>
      <c r="V1582" s="89"/>
      <c r="W1582" s="89"/>
      <c r="X1582" s="89"/>
      <c r="Y1582" s="89"/>
      <c r="Z1582" s="89"/>
      <c r="AA1582" s="89"/>
      <c r="AB1582" s="89"/>
      <c r="AC1582" s="89"/>
      <c r="AD1582" s="89"/>
    </row>
    <row r="1583" spans="18:30" x14ac:dyDescent="0.3">
      <c r="R1583" s="89"/>
      <c r="S1583" s="89"/>
      <c r="T1583" s="89"/>
      <c r="U1583" s="89"/>
      <c r="V1583" s="89"/>
      <c r="W1583" s="89"/>
      <c r="X1583" s="89"/>
      <c r="Y1583" s="89"/>
      <c r="Z1583" s="89"/>
      <c r="AA1583" s="89"/>
      <c r="AB1583" s="89"/>
      <c r="AC1583" s="89"/>
      <c r="AD1583" s="89"/>
    </row>
    <row r="1584" spans="18:30" x14ac:dyDescent="0.3">
      <c r="R1584" s="89"/>
      <c r="S1584" s="89"/>
      <c r="T1584" s="89"/>
      <c r="U1584" s="89"/>
      <c r="V1584" s="89"/>
      <c r="W1584" s="89"/>
      <c r="X1584" s="89"/>
      <c r="Y1584" s="89"/>
      <c r="Z1584" s="89"/>
      <c r="AA1584" s="89"/>
      <c r="AB1584" s="89"/>
      <c r="AC1584" s="89"/>
      <c r="AD1584" s="89"/>
    </row>
    <row r="1585" spans="18:30" x14ac:dyDescent="0.3">
      <c r="R1585" s="89"/>
      <c r="S1585" s="89"/>
      <c r="T1585" s="89"/>
      <c r="U1585" s="89"/>
      <c r="V1585" s="89"/>
      <c r="W1585" s="89"/>
      <c r="X1585" s="89"/>
      <c r="Y1585" s="89"/>
      <c r="Z1585" s="89"/>
      <c r="AA1585" s="89"/>
      <c r="AB1585" s="89"/>
      <c r="AC1585" s="89"/>
      <c r="AD1585" s="89"/>
    </row>
    <row r="1586" spans="18:30" x14ac:dyDescent="0.3">
      <c r="R1586" s="89"/>
      <c r="S1586" s="89"/>
      <c r="T1586" s="89"/>
      <c r="U1586" s="89"/>
      <c r="V1586" s="89"/>
      <c r="W1586" s="89"/>
      <c r="X1586" s="89"/>
      <c r="Y1586" s="89"/>
      <c r="Z1586" s="89"/>
      <c r="AA1586" s="89"/>
      <c r="AB1586" s="89"/>
      <c r="AC1586" s="89"/>
      <c r="AD1586" s="89"/>
    </row>
    <row r="1587" spans="18:30" x14ac:dyDescent="0.3">
      <c r="R1587" s="89"/>
      <c r="S1587" s="89"/>
      <c r="T1587" s="89"/>
      <c r="U1587" s="89"/>
      <c r="V1587" s="89"/>
      <c r="W1587" s="89"/>
      <c r="X1587" s="89"/>
      <c r="Y1587" s="89"/>
      <c r="Z1587" s="89"/>
      <c r="AA1587" s="89"/>
      <c r="AB1587" s="89"/>
      <c r="AC1587" s="89"/>
      <c r="AD1587" s="89"/>
    </row>
    <row r="1588" spans="18:30" x14ac:dyDescent="0.3">
      <c r="R1588" s="89"/>
      <c r="S1588" s="89"/>
      <c r="T1588" s="89"/>
      <c r="U1588" s="89"/>
      <c r="V1588" s="89"/>
      <c r="W1588" s="89"/>
      <c r="X1588" s="89"/>
      <c r="Y1588" s="89"/>
      <c r="Z1588" s="89"/>
      <c r="AA1588" s="89"/>
      <c r="AB1588" s="89"/>
      <c r="AC1588" s="89"/>
      <c r="AD1588" s="89"/>
    </row>
    <row r="1589" spans="18:30" x14ac:dyDescent="0.3">
      <c r="R1589" s="89"/>
      <c r="S1589" s="89"/>
      <c r="T1589" s="89"/>
      <c r="U1589" s="89"/>
      <c r="V1589" s="89"/>
      <c r="W1589" s="89"/>
      <c r="X1589" s="89"/>
      <c r="Y1589" s="89"/>
      <c r="Z1589" s="89"/>
      <c r="AA1589" s="89"/>
      <c r="AB1589" s="89"/>
      <c r="AC1589" s="89"/>
      <c r="AD1589" s="89"/>
    </row>
    <row r="1590" spans="18:30" x14ac:dyDescent="0.3">
      <c r="R1590" s="89"/>
      <c r="S1590" s="89"/>
      <c r="T1590" s="89"/>
      <c r="U1590" s="89"/>
      <c r="V1590" s="89"/>
      <c r="W1590" s="89"/>
      <c r="X1590" s="89"/>
      <c r="Y1590" s="89"/>
      <c r="Z1590" s="89"/>
      <c r="AA1590" s="89"/>
      <c r="AB1590" s="89"/>
      <c r="AC1590" s="89"/>
      <c r="AD1590" s="89"/>
    </row>
    <row r="1591" spans="18:30" x14ac:dyDescent="0.3">
      <c r="R1591" s="89"/>
      <c r="S1591" s="89"/>
      <c r="T1591" s="89"/>
      <c r="U1591" s="89"/>
      <c r="V1591" s="89"/>
      <c r="W1591" s="89"/>
      <c r="X1591" s="89"/>
      <c r="Y1591" s="89"/>
      <c r="Z1591" s="89"/>
      <c r="AA1591" s="89"/>
      <c r="AB1591" s="89"/>
      <c r="AC1591" s="89"/>
      <c r="AD1591" s="89"/>
    </row>
    <row r="1592" spans="18:30" x14ac:dyDescent="0.3">
      <c r="R1592" s="89"/>
      <c r="S1592" s="89"/>
      <c r="T1592" s="89"/>
      <c r="U1592" s="89"/>
      <c r="V1592" s="89"/>
      <c r="W1592" s="89"/>
      <c r="X1592" s="89"/>
      <c r="Y1592" s="89"/>
      <c r="Z1592" s="89"/>
      <c r="AA1592" s="89"/>
      <c r="AB1592" s="89"/>
      <c r="AC1592" s="89"/>
      <c r="AD1592" s="89"/>
    </row>
    <row r="1593" spans="18:30" x14ac:dyDescent="0.3">
      <c r="R1593" s="89"/>
      <c r="S1593" s="89"/>
      <c r="T1593" s="89"/>
      <c r="U1593" s="89"/>
      <c r="V1593" s="89"/>
      <c r="W1593" s="89"/>
      <c r="X1593" s="89"/>
      <c r="Y1593" s="89"/>
      <c r="Z1593" s="89"/>
      <c r="AA1593" s="89"/>
      <c r="AB1593" s="89"/>
      <c r="AC1593" s="89"/>
      <c r="AD1593" s="89"/>
    </row>
    <row r="1594" spans="18:30" x14ac:dyDescent="0.3">
      <c r="R1594" s="89"/>
      <c r="S1594" s="89"/>
      <c r="T1594" s="89"/>
      <c r="U1594" s="89"/>
      <c r="V1594" s="89"/>
      <c r="W1594" s="89"/>
      <c r="X1594" s="89"/>
      <c r="Y1594" s="89"/>
      <c r="Z1594" s="89"/>
      <c r="AA1594" s="89"/>
      <c r="AB1594" s="89"/>
      <c r="AC1594" s="89"/>
      <c r="AD1594" s="89"/>
    </row>
    <row r="1595" spans="18:30" x14ac:dyDescent="0.3">
      <c r="R1595" s="89"/>
      <c r="S1595" s="89"/>
      <c r="T1595" s="89"/>
      <c r="U1595" s="89"/>
      <c r="V1595" s="89"/>
      <c r="W1595" s="89"/>
      <c r="X1595" s="89"/>
      <c r="Y1595" s="89"/>
      <c r="Z1595" s="89"/>
      <c r="AA1595" s="89"/>
      <c r="AB1595" s="89"/>
      <c r="AC1595" s="89"/>
      <c r="AD1595" s="89"/>
    </row>
    <row r="1596" spans="18:30" x14ac:dyDescent="0.3">
      <c r="R1596" s="89"/>
      <c r="S1596" s="89"/>
      <c r="T1596" s="89"/>
      <c r="U1596" s="89"/>
      <c r="V1596" s="89"/>
      <c r="W1596" s="89"/>
      <c r="X1596" s="89"/>
      <c r="Y1596" s="89"/>
      <c r="Z1596" s="89"/>
      <c r="AA1596" s="89"/>
      <c r="AB1596" s="89"/>
      <c r="AC1596" s="89"/>
      <c r="AD1596" s="89"/>
    </row>
    <row r="1597" spans="18:30" x14ac:dyDescent="0.3">
      <c r="R1597" s="89"/>
      <c r="S1597" s="89"/>
      <c r="T1597" s="89"/>
      <c r="U1597" s="89"/>
      <c r="V1597" s="89"/>
      <c r="W1597" s="89"/>
      <c r="X1597" s="89"/>
      <c r="Y1597" s="89"/>
      <c r="Z1597" s="89"/>
      <c r="AA1597" s="89"/>
      <c r="AB1597" s="89"/>
      <c r="AC1597" s="89"/>
      <c r="AD1597" s="89"/>
    </row>
    <row r="1598" spans="18:30" x14ac:dyDescent="0.3">
      <c r="R1598" s="89"/>
      <c r="S1598" s="89"/>
      <c r="T1598" s="89"/>
      <c r="U1598" s="89"/>
      <c r="V1598" s="89"/>
      <c r="W1598" s="89"/>
      <c r="X1598" s="89"/>
      <c r="Y1598" s="89"/>
      <c r="Z1598" s="89"/>
      <c r="AA1598" s="89"/>
      <c r="AB1598" s="89"/>
      <c r="AC1598" s="89"/>
      <c r="AD1598" s="89"/>
    </row>
    <row r="1599" spans="18:30" x14ac:dyDescent="0.3">
      <c r="R1599" s="89"/>
      <c r="S1599" s="89"/>
      <c r="T1599" s="89"/>
      <c r="U1599" s="89"/>
      <c r="V1599" s="89"/>
      <c r="W1599" s="89"/>
      <c r="X1599" s="89"/>
      <c r="Y1599" s="89"/>
      <c r="Z1599" s="89"/>
      <c r="AA1599" s="89"/>
      <c r="AB1599" s="89"/>
      <c r="AC1599" s="89"/>
      <c r="AD1599" s="89"/>
    </row>
    <row r="1600" spans="18:30" x14ac:dyDescent="0.3">
      <c r="R1600" s="89"/>
      <c r="S1600" s="89"/>
      <c r="T1600" s="89"/>
      <c r="U1600" s="89"/>
      <c r="V1600" s="89"/>
      <c r="W1600" s="89"/>
      <c r="X1600" s="89"/>
      <c r="Y1600" s="89"/>
      <c r="Z1600" s="89"/>
      <c r="AA1600" s="89"/>
      <c r="AB1600" s="89"/>
      <c r="AC1600" s="89"/>
      <c r="AD1600" s="89"/>
    </row>
    <row r="1601" spans="18:30" x14ac:dyDescent="0.3">
      <c r="R1601" s="89"/>
      <c r="S1601" s="89"/>
      <c r="T1601" s="89"/>
      <c r="U1601" s="89"/>
      <c r="V1601" s="89"/>
      <c r="W1601" s="89"/>
      <c r="X1601" s="89"/>
      <c r="Y1601" s="89"/>
      <c r="Z1601" s="89"/>
      <c r="AA1601" s="89"/>
      <c r="AB1601" s="89"/>
      <c r="AC1601" s="89"/>
      <c r="AD1601" s="89"/>
    </row>
    <row r="1602" spans="18:30" x14ac:dyDescent="0.3">
      <c r="R1602" s="89"/>
      <c r="S1602" s="89"/>
      <c r="T1602" s="89"/>
      <c r="U1602" s="89"/>
      <c r="V1602" s="89"/>
      <c r="W1602" s="89"/>
      <c r="X1602" s="89"/>
      <c r="Y1602" s="89"/>
      <c r="Z1602" s="89"/>
      <c r="AA1602" s="89"/>
      <c r="AB1602" s="89"/>
      <c r="AC1602" s="89"/>
      <c r="AD1602" s="89"/>
    </row>
    <row r="1603" spans="18:30" x14ac:dyDescent="0.3">
      <c r="R1603" s="89"/>
      <c r="S1603" s="89"/>
      <c r="T1603" s="89"/>
      <c r="U1603" s="89"/>
      <c r="V1603" s="89"/>
      <c r="W1603" s="89"/>
      <c r="X1603" s="89"/>
      <c r="Y1603" s="89"/>
      <c r="Z1603" s="89"/>
      <c r="AA1603" s="89"/>
      <c r="AB1603" s="89"/>
      <c r="AC1603" s="89"/>
      <c r="AD1603" s="89"/>
    </row>
    <row r="1604" spans="18:30" x14ac:dyDescent="0.3">
      <c r="R1604" s="89"/>
      <c r="S1604" s="89"/>
      <c r="T1604" s="89"/>
      <c r="U1604" s="89"/>
      <c r="V1604" s="89"/>
      <c r="W1604" s="89"/>
      <c r="X1604" s="89"/>
      <c r="Y1604" s="89"/>
      <c r="Z1604" s="89"/>
      <c r="AA1604" s="89"/>
      <c r="AB1604" s="89"/>
      <c r="AC1604" s="89"/>
      <c r="AD1604" s="89"/>
    </row>
    <row r="1605" spans="18:30" x14ac:dyDescent="0.3">
      <c r="R1605" s="89"/>
      <c r="S1605" s="89"/>
      <c r="T1605" s="89"/>
      <c r="U1605" s="89"/>
      <c r="V1605" s="89"/>
      <c r="W1605" s="89"/>
      <c r="X1605" s="89"/>
      <c r="Y1605" s="89"/>
      <c r="Z1605" s="89"/>
      <c r="AA1605" s="89"/>
      <c r="AB1605" s="89"/>
      <c r="AC1605" s="89"/>
      <c r="AD1605" s="89"/>
    </row>
    <row r="1606" spans="18:30" x14ac:dyDescent="0.3">
      <c r="R1606" s="89"/>
      <c r="S1606" s="89"/>
      <c r="T1606" s="89"/>
      <c r="U1606" s="89"/>
      <c r="V1606" s="89"/>
      <c r="W1606" s="89"/>
      <c r="X1606" s="89"/>
      <c r="Y1606" s="89"/>
      <c r="Z1606" s="89"/>
      <c r="AA1606" s="89"/>
      <c r="AB1606" s="89"/>
      <c r="AC1606" s="89"/>
      <c r="AD1606" s="89"/>
    </row>
    <row r="1607" spans="18:30" x14ac:dyDescent="0.3">
      <c r="R1607" s="89"/>
      <c r="S1607" s="89"/>
      <c r="T1607" s="89"/>
      <c r="U1607" s="89"/>
      <c r="V1607" s="89"/>
      <c r="W1607" s="89"/>
      <c r="X1607" s="89"/>
      <c r="Y1607" s="89"/>
      <c r="Z1607" s="89"/>
      <c r="AA1607" s="89"/>
      <c r="AB1607" s="89"/>
      <c r="AC1607" s="89"/>
      <c r="AD1607" s="89"/>
    </row>
    <row r="1608" spans="18:30" x14ac:dyDescent="0.3">
      <c r="R1608" s="89"/>
      <c r="S1608" s="89"/>
      <c r="T1608" s="89"/>
      <c r="U1608" s="89"/>
      <c r="V1608" s="89"/>
      <c r="W1608" s="89"/>
      <c r="X1608" s="89"/>
      <c r="Y1608" s="89"/>
      <c r="Z1608" s="89"/>
      <c r="AA1608" s="89"/>
      <c r="AB1608" s="89"/>
      <c r="AC1608" s="89"/>
      <c r="AD1608" s="89"/>
    </row>
    <row r="1609" spans="18:30" x14ac:dyDescent="0.3">
      <c r="R1609" s="89"/>
      <c r="S1609" s="89"/>
      <c r="T1609" s="89"/>
      <c r="U1609" s="89"/>
      <c r="V1609" s="89"/>
      <c r="W1609" s="89"/>
      <c r="X1609" s="89"/>
      <c r="Y1609" s="89"/>
      <c r="Z1609" s="89"/>
      <c r="AA1609" s="89"/>
      <c r="AB1609" s="89"/>
      <c r="AC1609" s="89"/>
      <c r="AD1609" s="89"/>
    </row>
    <row r="1610" spans="18:30" x14ac:dyDescent="0.3">
      <c r="R1610" s="89"/>
      <c r="S1610" s="89"/>
      <c r="T1610" s="89"/>
      <c r="U1610" s="89"/>
      <c r="V1610" s="89"/>
      <c r="W1610" s="89"/>
      <c r="X1610" s="89"/>
      <c r="Y1610" s="89"/>
      <c r="Z1610" s="89"/>
      <c r="AA1610" s="89"/>
      <c r="AB1610" s="89"/>
      <c r="AC1610" s="89"/>
      <c r="AD1610" s="89"/>
    </row>
    <row r="1611" spans="18:30" x14ac:dyDescent="0.3">
      <c r="R1611" s="89"/>
      <c r="S1611" s="89"/>
      <c r="T1611" s="89"/>
      <c r="U1611" s="89"/>
      <c r="V1611" s="89"/>
      <c r="W1611" s="89"/>
      <c r="X1611" s="89"/>
      <c r="Y1611" s="89"/>
      <c r="Z1611" s="89"/>
      <c r="AA1611" s="89"/>
      <c r="AB1611" s="89"/>
      <c r="AC1611" s="89"/>
      <c r="AD1611" s="89"/>
    </row>
    <row r="1612" spans="18:30" x14ac:dyDescent="0.3">
      <c r="R1612" s="89"/>
      <c r="S1612" s="89"/>
      <c r="T1612" s="89"/>
      <c r="U1612" s="89"/>
      <c r="V1612" s="89"/>
      <c r="W1612" s="89"/>
      <c r="X1612" s="89"/>
      <c r="Y1612" s="89"/>
      <c r="Z1612" s="89"/>
      <c r="AA1612" s="89"/>
      <c r="AB1612" s="89"/>
      <c r="AC1612" s="89"/>
      <c r="AD1612" s="89"/>
    </row>
    <row r="1613" spans="18:30" x14ac:dyDescent="0.3">
      <c r="R1613" s="89"/>
      <c r="S1613" s="89"/>
      <c r="T1613" s="89"/>
      <c r="U1613" s="89"/>
      <c r="V1613" s="89"/>
      <c r="W1613" s="89"/>
      <c r="X1613" s="89"/>
      <c r="Y1613" s="89"/>
      <c r="Z1613" s="89"/>
      <c r="AA1613" s="89"/>
      <c r="AB1613" s="89"/>
      <c r="AC1613" s="89"/>
      <c r="AD1613" s="89"/>
    </row>
    <row r="1614" spans="18:30" x14ac:dyDescent="0.3">
      <c r="R1614" s="89"/>
      <c r="S1614" s="89"/>
      <c r="T1614" s="89"/>
      <c r="U1614" s="89"/>
      <c r="V1614" s="89"/>
      <c r="W1614" s="89"/>
      <c r="X1614" s="89"/>
      <c r="Y1614" s="89"/>
      <c r="Z1614" s="89"/>
      <c r="AA1614" s="89"/>
      <c r="AB1614" s="89"/>
      <c r="AC1614" s="89"/>
      <c r="AD1614" s="89"/>
    </row>
    <row r="1615" spans="18:30" x14ac:dyDescent="0.3">
      <c r="R1615" s="89"/>
      <c r="S1615" s="89"/>
      <c r="T1615" s="89"/>
      <c r="U1615" s="89"/>
      <c r="V1615" s="89"/>
      <c r="W1615" s="89"/>
      <c r="X1615" s="89"/>
      <c r="Y1615" s="89"/>
      <c r="Z1615" s="89"/>
      <c r="AA1615" s="89"/>
      <c r="AB1615" s="89"/>
      <c r="AC1615" s="89"/>
      <c r="AD1615" s="89"/>
    </row>
    <row r="1616" spans="18:30" x14ac:dyDescent="0.3">
      <c r="R1616" s="89"/>
      <c r="S1616" s="89"/>
      <c r="T1616" s="89"/>
      <c r="U1616" s="89"/>
      <c r="V1616" s="89"/>
      <c r="W1616" s="89"/>
      <c r="X1616" s="89"/>
      <c r="Y1616" s="89"/>
      <c r="Z1616" s="89"/>
      <c r="AA1616" s="89"/>
      <c r="AB1616" s="89"/>
      <c r="AC1616" s="89"/>
      <c r="AD1616" s="89"/>
    </row>
    <row r="1617" spans="18:30" x14ac:dyDescent="0.3">
      <c r="R1617" s="89"/>
      <c r="S1617" s="89"/>
      <c r="T1617" s="89"/>
      <c r="U1617" s="89"/>
      <c r="V1617" s="89"/>
      <c r="W1617" s="89"/>
      <c r="X1617" s="89"/>
      <c r="Y1617" s="89"/>
      <c r="Z1617" s="89"/>
      <c r="AA1617" s="89"/>
      <c r="AB1617" s="89"/>
      <c r="AC1617" s="89"/>
      <c r="AD1617" s="89"/>
    </row>
    <row r="1618" spans="18:30" x14ac:dyDescent="0.3">
      <c r="R1618" s="89"/>
      <c r="S1618" s="89"/>
      <c r="T1618" s="89"/>
      <c r="U1618" s="89"/>
      <c r="V1618" s="89"/>
      <c r="W1618" s="89"/>
      <c r="X1618" s="89"/>
      <c r="Y1618" s="89"/>
      <c r="Z1618" s="89"/>
      <c r="AA1618" s="89"/>
      <c r="AB1618" s="89"/>
      <c r="AC1618" s="89"/>
      <c r="AD1618" s="89"/>
    </row>
    <row r="1619" spans="18:30" x14ac:dyDescent="0.3">
      <c r="R1619" s="89"/>
      <c r="S1619" s="89"/>
      <c r="T1619" s="89"/>
      <c r="U1619" s="89"/>
      <c r="V1619" s="89"/>
      <c r="W1619" s="89"/>
      <c r="X1619" s="89"/>
      <c r="Y1619" s="89"/>
      <c r="Z1619" s="89"/>
      <c r="AA1619" s="89"/>
      <c r="AB1619" s="89"/>
      <c r="AC1619" s="89"/>
      <c r="AD1619" s="89"/>
    </row>
    <row r="1620" spans="18:30" x14ac:dyDescent="0.3">
      <c r="R1620" s="89"/>
      <c r="S1620" s="89"/>
      <c r="T1620" s="89"/>
      <c r="U1620" s="89"/>
      <c r="V1620" s="89"/>
      <c r="W1620" s="89"/>
      <c r="X1620" s="89"/>
      <c r="Y1620" s="89"/>
      <c r="Z1620" s="89"/>
      <c r="AA1620" s="89"/>
      <c r="AB1620" s="89"/>
      <c r="AC1620" s="89"/>
      <c r="AD1620" s="89"/>
    </row>
    <row r="1621" spans="18:30" x14ac:dyDescent="0.3">
      <c r="R1621" s="89"/>
      <c r="S1621" s="89"/>
      <c r="T1621" s="89"/>
      <c r="U1621" s="89"/>
      <c r="V1621" s="89"/>
      <c r="W1621" s="89"/>
      <c r="X1621" s="89"/>
      <c r="Y1621" s="89"/>
      <c r="Z1621" s="89"/>
      <c r="AA1621" s="89"/>
      <c r="AB1621" s="89"/>
      <c r="AC1621" s="89"/>
      <c r="AD1621" s="89"/>
    </row>
    <row r="1622" spans="18:30" x14ac:dyDescent="0.3">
      <c r="R1622" s="89"/>
      <c r="S1622" s="89"/>
      <c r="T1622" s="89"/>
      <c r="U1622" s="89"/>
      <c r="V1622" s="89"/>
      <c r="W1622" s="89"/>
      <c r="X1622" s="89"/>
      <c r="Y1622" s="89"/>
      <c r="Z1622" s="89"/>
      <c r="AA1622" s="89"/>
      <c r="AB1622" s="89"/>
      <c r="AC1622" s="89"/>
      <c r="AD1622" s="89"/>
    </row>
    <row r="1623" spans="18:30" x14ac:dyDescent="0.3">
      <c r="R1623" s="89"/>
      <c r="S1623" s="89"/>
      <c r="T1623" s="89"/>
      <c r="U1623" s="89"/>
      <c r="V1623" s="89"/>
      <c r="W1623" s="89"/>
      <c r="X1623" s="89"/>
      <c r="Y1623" s="89"/>
      <c r="Z1623" s="89"/>
      <c r="AA1623" s="89"/>
      <c r="AB1623" s="89"/>
      <c r="AC1623" s="89"/>
      <c r="AD1623" s="89"/>
    </row>
    <row r="1624" spans="18:30" x14ac:dyDescent="0.3">
      <c r="R1624" s="89"/>
      <c r="S1624" s="89"/>
      <c r="T1624" s="89"/>
      <c r="U1624" s="89"/>
      <c r="V1624" s="89"/>
      <c r="W1624" s="89"/>
      <c r="X1624" s="89"/>
      <c r="Y1624" s="89"/>
      <c r="Z1624" s="89"/>
      <c r="AA1624" s="89"/>
      <c r="AB1624" s="89"/>
      <c r="AC1624" s="89"/>
      <c r="AD1624" s="89"/>
    </row>
    <row r="1625" spans="18:30" x14ac:dyDescent="0.3">
      <c r="R1625" s="89"/>
      <c r="S1625" s="89"/>
      <c r="T1625" s="89"/>
      <c r="U1625" s="89"/>
      <c r="V1625" s="89"/>
      <c r="W1625" s="89"/>
      <c r="X1625" s="89"/>
      <c r="Y1625" s="89"/>
      <c r="Z1625" s="89"/>
      <c r="AA1625" s="89"/>
      <c r="AB1625" s="89"/>
      <c r="AC1625" s="89"/>
      <c r="AD1625" s="89"/>
    </row>
    <row r="1626" spans="18:30" x14ac:dyDescent="0.3">
      <c r="R1626" s="89"/>
      <c r="S1626" s="89"/>
      <c r="T1626" s="89"/>
      <c r="U1626" s="89"/>
      <c r="V1626" s="89"/>
      <c r="W1626" s="89"/>
      <c r="X1626" s="89"/>
      <c r="Y1626" s="89"/>
      <c r="Z1626" s="89"/>
      <c r="AA1626" s="89"/>
      <c r="AB1626" s="89"/>
      <c r="AC1626" s="89"/>
      <c r="AD1626" s="89"/>
    </row>
    <row r="1627" spans="18:30" x14ac:dyDescent="0.3">
      <c r="R1627" s="89"/>
      <c r="S1627" s="89"/>
      <c r="T1627" s="89"/>
      <c r="U1627" s="89"/>
      <c r="V1627" s="89"/>
      <c r="W1627" s="89"/>
      <c r="X1627" s="89"/>
      <c r="Y1627" s="89"/>
      <c r="Z1627" s="89"/>
      <c r="AA1627" s="89"/>
      <c r="AB1627" s="89"/>
      <c r="AC1627" s="89"/>
      <c r="AD1627" s="89"/>
    </row>
    <row r="1628" spans="18:30" x14ac:dyDescent="0.3">
      <c r="R1628" s="89"/>
      <c r="S1628" s="89"/>
      <c r="T1628" s="89"/>
      <c r="U1628" s="89"/>
      <c r="V1628" s="89"/>
      <c r="W1628" s="89"/>
      <c r="X1628" s="89"/>
      <c r="Y1628" s="89"/>
      <c r="Z1628" s="89"/>
      <c r="AA1628" s="89"/>
      <c r="AB1628" s="89"/>
      <c r="AC1628" s="89"/>
      <c r="AD1628" s="89"/>
    </row>
    <row r="1629" spans="18:30" x14ac:dyDescent="0.3">
      <c r="R1629" s="89"/>
      <c r="S1629" s="89"/>
      <c r="T1629" s="89"/>
      <c r="U1629" s="89"/>
      <c r="V1629" s="89"/>
      <c r="W1629" s="89"/>
      <c r="X1629" s="89"/>
      <c r="Y1629" s="89"/>
      <c r="Z1629" s="89"/>
      <c r="AA1629" s="89"/>
      <c r="AB1629" s="89"/>
      <c r="AC1629" s="89"/>
      <c r="AD1629" s="89"/>
    </row>
    <row r="1630" spans="18:30" x14ac:dyDescent="0.3">
      <c r="R1630" s="89"/>
      <c r="S1630" s="89"/>
      <c r="T1630" s="89"/>
      <c r="U1630" s="89"/>
      <c r="V1630" s="89"/>
      <c r="W1630" s="89"/>
      <c r="X1630" s="89"/>
      <c r="Y1630" s="89"/>
      <c r="Z1630" s="89"/>
      <c r="AA1630" s="89"/>
      <c r="AB1630" s="89"/>
      <c r="AC1630" s="89"/>
      <c r="AD1630" s="89"/>
    </row>
    <row r="1631" spans="18:30" x14ac:dyDescent="0.3">
      <c r="R1631" s="89"/>
      <c r="S1631" s="89"/>
      <c r="T1631" s="89"/>
      <c r="U1631" s="89"/>
      <c r="V1631" s="89"/>
      <c r="W1631" s="89"/>
      <c r="X1631" s="89"/>
      <c r="Y1631" s="89"/>
      <c r="Z1631" s="89"/>
      <c r="AA1631" s="89"/>
      <c r="AB1631" s="89"/>
      <c r="AC1631" s="89"/>
      <c r="AD1631" s="89"/>
    </row>
    <row r="1632" spans="18:30" x14ac:dyDescent="0.3">
      <c r="R1632" s="89"/>
      <c r="S1632" s="89"/>
      <c r="T1632" s="89"/>
      <c r="U1632" s="89"/>
      <c r="V1632" s="89"/>
      <c r="W1632" s="89"/>
      <c r="X1632" s="89"/>
      <c r="Y1632" s="89"/>
      <c r="Z1632" s="89"/>
      <c r="AA1632" s="89"/>
      <c r="AB1632" s="89"/>
      <c r="AC1632" s="89"/>
      <c r="AD1632" s="89"/>
    </row>
    <row r="1633" spans="18:30" x14ac:dyDescent="0.3">
      <c r="R1633" s="89"/>
      <c r="S1633" s="89"/>
      <c r="T1633" s="89"/>
      <c r="U1633" s="89"/>
      <c r="V1633" s="89"/>
      <c r="W1633" s="89"/>
      <c r="X1633" s="89"/>
      <c r="Y1633" s="89"/>
      <c r="Z1633" s="89"/>
      <c r="AA1633" s="89"/>
      <c r="AB1633" s="89"/>
      <c r="AC1633" s="89"/>
      <c r="AD1633" s="89"/>
    </row>
    <row r="1634" spans="18:30" x14ac:dyDescent="0.3">
      <c r="R1634" s="89"/>
      <c r="S1634" s="89"/>
      <c r="T1634" s="89"/>
      <c r="U1634" s="89"/>
      <c r="V1634" s="89"/>
      <c r="W1634" s="89"/>
      <c r="X1634" s="89"/>
      <c r="Y1634" s="89"/>
      <c r="Z1634" s="89"/>
      <c r="AA1634" s="89"/>
      <c r="AB1634" s="89"/>
      <c r="AC1634" s="89"/>
      <c r="AD1634" s="89"/>
    </row>
    <row r="1635" spans="18:30" x14ac:dyDescent="0.3">
      <c r="R1635" s="89"/>
      <c r="S1635" s="89"/>
      <c r="T1635" s="89"/>
      <c r="U1635" s="89"/>
      <c r="V1635" s="89"/>
      <c r="W1635" s="89"/>
      <c r="X1635" s="89"/>
      <c r="Y1635" s="89"/>
      <c r="Z1635" s="89"/>
      <c r="AA1635" s="89"/>
      <c r="AB1635" s="89"/>
      <c r="AC1635" s="89"/>
      <c r="AD1635" s="89"/>
    </row>
    <row r="1636" spans="18:30" x14ac:dyDescent="0.3">
      <c r="R1636" s="89"/>
      <c r="S1636" s="89"/>
      <c r="T1636" s="89"/>
      <c r="U1636" s="89"/>
      <c r="V1636" s="89"/>
      <c r="W1636" s="89"/>
      <c r="X1636" s="89"/>
      <c r="Y1636" s="89"/>
      <c r="Z1636" s="89"/>
      <c r="AA1636" s="89"/>
      <c r="AB1636" s="89"/>
      <c r="AC1636" s="89"/>
      <c r="AD1636" s="89"/>
    </row>
    <row r="1637" spans="18:30" x14ac:dyDescent="0.3">
      <c r="R1637" s="89"/>
      <c r="S1637" s="89"/>
      <c r="T1637" s="89"/>
      <c r="U1637" s="89"/>
      <c r="V1637" s="89"/>
      <c r="W1637" s="89"/>
      <c r="X1637" s="89"/>
      <c r="Y1637" s="89"/>
      <c r="Z1637" s="89"/>
      <c r="AA1637" s="89"/>
      <c r="AB1637" s="89"/>
      <c r="AC1637" s="89"/>
      <c r="AD1637" s="89"/>
    </row>
    <row r="1638" spans="18:30" x14ac:dyDescent="0.3">
      <c r="R1638" s="89"/>
      <c r="S1638" s="89"/>
      <c r="T1638" s="89"/>
      <c r="U1638" s="89"/>
      <c r="V1638" s="89"/>
      <c r="W1638" s="89"/>
      <c r="X1638" s="89"/>
      <c r="Y1638" s="89"/>
      <c r="Z1638" s="89"/>
      <c r="AA1638" s="89"/>
      <c r="AB1638" s="89"/>
      <c r="AC1638" s="89"/>
      <c r="AD1638" s="89"/>
    </row>
    <row r="1639" spans="18:30" x14ac:dyDescent="0.3">
      <c r="R1639" s="89"/>
      <c r="S1639" s="89"/>
      <c r="T1639" s="89"/>
      <c r="U1639" s="89"/>
      <c r="V1639" s="89"/>
      <c r="W1639" s="89"/>
      <c r="X1639" s="89"/>
      <c r="Y1639" s="89"/>
      <c r="Z1639" s="89"/>
      <c r="AA1639" s="89"/>
      <c r="AB1639" s="89"/>
      <c r="AC1639" s="89"/>
      <c r="AD1639" s="89"/>
    </row>
    <row r="1640" spans="18:30" x14ac:dyDescent="0.3">
      <c r="R1640" s="89"/>
      <c r="S1640" s="89"/>
      <c r="T1640" s="89"/>
      <c r="U1640" s="89"/>
      <c r="V1640" s="89"/>
      <c r="W1640" s="89"/>
      <c r="X1640" s="89"/>
      <c r="Y1640" s="89"/>
      <c r="Z1640" s="89"/>
      <c r="AA1640" s="89"/>
      <c r="AB1640" s="89"/>
      <c r="AC1640" s="89"/>
      <c r="AD1640" s="89"/>
    </row>
    <row r="1641" spans="18:30" x14ac:dyDescent="0.3">
      <c r="R1641" s="89"/>
      <c r="S1641" s="89"/>
      <c r="T1641" s="89"/>
      <c r="U1641" s="89"/>
      <c r="V1641" s="89"/>
      <c r="W1641" s="89"/>
      <c r="X1641" s="89"/>
      <c r="Y1641" s="89"/>
      <c r="Z1641" s="89"/>
      <c r="AA1641" s="89"/>
      <c r="AB1641" s="89"/>
      <c r="AC1641" s="89"/>
      <c r="AD1641" s="89"/>
    </row>
    <row r="1642" spans="18:30" x14ac:dyDescent="0.3">
      <c r="R1642" s="89"/>
      <c r="S1642" s="89"/>
      <c r="T1642" s="89"/>
      <c r="U1642" s="89"/>
      <c r="V1642" s="89"/>
      <c r="W1642" s="89"/>
      <c r="X1642" s="89"/>
      <c r="Y1642" s="89"/>
      <c r="Z1642" s="89"/>
      <c r="AA1642" s="89"/>
      <c r="AB1642" s="89"/>
      <c r="AC1642" s="89"/>
      <c r="AD1642" s="89"/>
    </row>
    <row r="1643" spans="18:30" x14ac:dyDescent="0.3">
      <c r="R1643" s="89"/>
      <c r="S1643" s="89"/>
      <c r="T1643" s="89"/>
      <c r="U1643" s="89"/>
      <c r="V1643" s="89"/>
      <c r="W1643" s="89"/>
      <c r="X1643" s="89"/>
      <c r="Y1643" s="89"/>
      <c r="Z1643" s="89"/>
      <c r="AA1643" s="89"/>
      <c r="AB1643" s="89"/>
      <c r="AC1643" s="89"/>
      <c r="AD1643" s="89"/>
    </row>
    <row r="1644" spans="18:30" x14ac:dyDescent="0.3">
      <c r="R1644" s="89"/>
      <c r="S1644" s="89"/>
      <c r="T1644" s="89"/>
      <c r="U1644" s="89"/>
      <c r="V1644" s="89"/>
      <c r="W1644" s="89"/>
      <c r="X1644" s="89"/>
      <c r="Y1644" s="89"/>
      <c r="Z1644" s="89"/>
      <c r="AA1644" s="89"/>
      <c r="AB1644" s="89"/>
      <c r="AC1644" s="89"/>
      <c r="AD1644" s="89"/>
    </row>
    <row r="1645" spans="18:30" x14ac:dyDescent="0.3">
      <c r="R1645" s="89"/>
      <c r="S1645" s="89"/>
      <c r="T1645" s="89"/>
      <c r="U1645" s="89"/>
      <c r="V1645" s="89"/>
      <c r="W1645" s="89"/>
      <c r="X1645" s="89"/>
      <c r="Y1645" s="89"/>
      <c r="Z1645" s="89"/>
      <c r="AA1645" s="89"/>
      <c r="AB1645" s="89"/>
      <c r="AC1645" s="89"/>
      <c r="AD1645" s="89"/>
    </row>
    <row r="1646" spans="18:30" x14ac:dyDescent="0.3">
      <c r="R1646" s="89"/>
      <c r="S1646" s="89"/>
      <c r="T1646" s="89"/>
      <c r="U1646" s="89"/>
      <c r="V1646" s="89"/>
      <c r="W1646" s="89"/>
      <c r="X1646" s="89"/>
      <c r="Y1646" s="89"/>
      <c r="Z1646" s="89"/>
      <c r="AA1646" s="89"/>
      <c r="AB1646" s="89"/>
      <c r="AC1646" s="89"/>
      <c r="AD1646" s="89"/>
    </row>
    <row r="1647" spans="18:30" x14ac:dyDescent="0.3">
      <c r="R1647" s="89"/>
      <c r="S1647" s="89"/>
      <c r="T1647" s="89"/>
      <c r="U1647" s="89"/>
      <c r="V1647" s="89"/>
      <c r="W1647" s="89"/>
      <c r="X1647" s="89"/>
      <c r="Y1647" s="89"/>
      <c r="Z1647" s="89"/>
      <c r="AA1647" s="89"/>
      <c r="AB1647" s="89"/>
      <c r="AC1647" s="89"/>
      <c r="AD1647" s="89"/>
    </row>
    <row r="1648" spans="18:30" x14ac:dyDescent="0.3">
      <c r="R1648" s="89"/>
      <c r="S1648" s="89"/>
      <c r="T1648" s="89"/>
      <c r="U1648" s="89"/>
      <c r="V1648" s="89"/>
      <c r="W1648" s="89"/>
      <c r="X1648" s="89"/>
      <c r="Y1648" s="89"/>
      <c r="Z1648" s="89"/>
      <c r="AA1648" s="89"/>
      <c r="AB1648" s="89"/>
      <c r="AC1648" s="89"/>
      <c r="AD1648" s="89"/>
    </row>
    <row r="1649" spans="18:30" x14ac:dyDescent="0.3">
      <c r="R1649" s="89"/>
      <c r="S1649" s="89"/>
      <c r="T1649" s="89"/>
      <c r="U1649" s="89"/>
      <c r="V1649" s="89"/>
      <c r="W1649" s="89"/>
      <c r="X1649" s="89"/>
      <c r="Y1649" s="89"/>
      <c r="Z1649" s="89"/>
      <c r="AA1649" s="89"/>
      <c r="AB1649" s="89"/>
      <c r="AC1649" s="89"/>
      <c r="AD1649" s="89"/>
    </row>
    <row r="1650" spans="18:30" x14ac:dyDescent="0.3">
      <c r="R1650" s="89"/>
      <c r="S1650" s="89"/>
      <c r="T1650" s="89"/>
      <c r="U1650" s="89"/>
      <c r="V1650" s="89"/>
      <c r="W1650" s="89"/>
      <c r="X1650" s="89"/>
      <c r="Y1650" s="89"/>
      <c r="Z1650" s="89"/>
      <c r="AA1650" s="89"/>
      <c r="AB1650" s="89"/>
      <c r="AC1650" s="89"/>
      <c r="AD1650" s="89"/>
    </row>
    <row r="1651" spans="18:30" x14ac:dyDescent="0.3">
      <c r="R1651" s="89"/>
      <c r="S1651" s="89"/>
      <c r="T1651" s="89"/>
      <c r="U1651" s="89"/>
      <c r="V1651" s="89"/>
      <c r="W1651" s="89"/>
      <c r="X1651" s="89"/>
      <c r="Y1651" s="89"/>
      <c r="Z1651" s="89"/>
      <c r="AA1651" s="89"/>
      <c r="AB1651" s="89"/>
      <c r="AC1651" s="89"/>
      <c r="AD1651" s="89"/>
    </row>
    <row r="1652" spans="18:30" x14ac:dyDescent="0.3">
      <c r="R1652" s="89"/>
      <c r="S1652" s="89"/>
      <c r="T1652" s="89"/>
      <c r="U1652" s="89"/>
      <c r="V1652" s="89"/>
      <c r="W1652" s="89"/>
      <c r="X1652" s="89"/>
      <c r="Y1652" s="89"/>
      <c r="Z1652" s="89"/>
      <c r="AA1652" s="89"/>
      <c r="AB1652" s="89"/>
      <c r="AC1652" s="89"/>
      <c r="AD1652" s="89"/>
    </row>
    <row r="1653" spans="18:30" x14ac:dyDescent="0.3">
      <c r="R1653" s="89"/>
      <c r="S1653" s="89"/>
      <c r="T1653" s="89"/>
      <c r="U1653" s="89"/>
      <c r="V1653" s="89"/>
      <c r="W1653" s="89"/>
      <c r="X1653" s="89"/>
      <c r="Y1653" s="89"/>
      <c r="Z1653" s="89"/>
      <c r="AA1653" s="89"/>
      <c r="AB1653" s="89"/>
      <c r="AC1653" s="89"/>
      <c r="AD1653" s="89"/>
    </row>
    <row r="1654" spans="18:30" x14ac:dyDescent="0.3">
      <c r="R1654" s="89"/>
      <c r="S1654" s="89"/>
      <c r="T1654" s="89"/>
      <c r="U1654" s="89"/>
      <c r="V1654" s="89"/>
      <c r="W1654" s="89"/>
      <c r="X1654" s="89"/>
      <c r="Y1654" s="89"/>
      <c r="Z1654" s="89"/>
      <c r="AA1654" s="89"/>
      <c r="AB1654" s="89"/>
      <c r="AC1654" s="89"/>
      <c r="AD1654" s="89"/>
    </row>
    <row r="1655" spans="18:30" x14ac:dyDescent="0.3">
      <c r="R1655" s="89"/>
      <c r="S1655" s="89"/>
      <c r="T1655" s="89"/>
      <c r="U1655" s="89"/>
      <c r="V1655" s="89"/>
      <c r="W1655" s="89"/>
      <c r="X1655" s="89"/>
      <c r="Y1655" s="89"/>
      <c r="Z1655" s="89"/>
      <c r="AA1655" s="89"/>
      <c r="AB1655" s="89"/>
      <c r="AC1655" s="89"/>
      <c r="AD1655" s="89"/>
    </row>
    <row r="1656" spans="18:30" x14ac:dyDescent="0.3">
      <c r="R1656" s="89"/>
      <c r="S1656" s="89"/>
      <c r="T1656" s="89"/>
      <c r="U1656" s="89"/>
      <c r="V1656" s="89"/>
      <c r="W1656" s="89"/>
      <c r="X1656" s="89"/>
      <c r="Y1656" s="89"/>
      <c r="Z1656" s="89"/>
      <c r="AA1656" s="89"/>
      <c r="AB1656" s="89"/>
      <c r="AC1656" s="89"/>
      <c r="AD1656" s="89"/>
    </row>
    <row r="1657" spans="18:30" x14ac:dyDescent="0.3">
      <c r="R1657" s="89"/>
      <c r="S1657" s="89"/>
      <c r="T1657" s="89"/>
      <c r="U1657" s="89"/>
      <c r="V1657" s="89"/>
      <c r="W1657" s="89"/>
      <c r="X1657" s="89"/>
      <c r="Y1657" s="89"/>
      <c r="Z1657" s="89"/>
      <c r="AA1657" s="89"/>
      <c r="AB1657" s="89"/>
      <c r="AC1657" s="89"/>
      <c r="AD1657" s="89"/>
    </row>
    <row r="1658" spans="18:30" x14ac:dyDescent="0.3">
      <c r="R1658" s="89"/>
      <c r="S1658" s="89"/>
      <c r="T1658" s="89"/>
      <c r="U1658" s="89"/>
      <c r="V1658" s="89"/>
      <c r="W1658" s="89"/>
      <c r="X1658" s="89"/>
      <c r="Y1658" s="89"/>
      <c r="Z1658" s="89"/>
      <c r="AA1658" s="89"/>
      <c r="AB1658" s="89"/>
      <c r="AC1658" s="89"/>
      <c r="AD1658" s="89"/>
    </row>
    <row r="1659" spans="18:30" x14ac:dyDescent="0.3">
      <c r="R1659" s="89"/>
      <c r="S1659" s="89"/>
      <c r="T1659" s="89"/>
      <c r="U1659" s="89"/>
      <c r="V1659" s="89"/>
      <c r="W1659" s="89"/>
      <c r="X1659" s="89"/>
      <c r="Y1659" s="89"/>
      <c r="Z1659" s="89"/>
      <c r="AA1659" s="89"/>
      <c r="AB1659" s="89"/>
      <c r="AC1659" s="89"/>
      <c r="AD1659" s="89"/>
    </row>
    <row r="1660" spans="18:30" x14ac:dyDescent="0.3">
      <c r="R1660" s="89"/>
      <c r="S1660" s="89"/>
      <c r="T1660" s="89"/>
      <c r="U1660" s="89"/>
      <c r="V1660" s="89"/>
      <c r="W1660" s="89"/>
      <c r="X1660" s="89"/>
      <c r="Y1660" s="89"/>
      <c r="Z1660" s="89"/>
      <c r="AA1660" s="89"/>
      <c r="AB1660" s="89"/>
      <c r="AC1660" s="89"/>
      <c r="AD1660" s="89"/>
    </row>
    <row r="1661" spans="18:30" x14ac:dyDescent="0.3">
      <c r="R1661" s="89"/>
      <c r="S1661" s="89"/>
      <c r="T1661" s="89"/>
      <c r="U1661" s="89"/>
      <c r="V1661" s="89"/>
      <c r="W1661" s="89"/>
      <c r="X1661" s="89"/>
      <c r="Y1661" s="89"/>
      <c r="Z1661" s="89"/>
      <c r="AA1661" s="89"/>
      <c r="AB1661" s="89"/>
      <c r="AC1661" s="89"/>
      <c r="AD1661" s="89"/>
    </row>
    <row r="1662" spans="18:30" x14ac:dyDescent="0.3">
      <c r="R1662" s="89"/>
      <c r="S1662" s="89"/>
      <c r="T1662" s="89"/>
      <c r="U1662" s="89"/>
      <c r="V1662" s="89"/>
      <c r="W1662" s="89"/>
      <c r="X1662" s="89"/>
      <c r="Y1662" s="89"/>
      <c r="Z1662" s="89"/>
      <c r="AA1662" s="89"/>
      <c r="AB1662" s="89"/>
      <c r="AC1662" s="89"/>
      <c r="AD1662" s="89"/>
    </row>
    <row r="1663" spans="18:30" x14ac:dyDescent="0.3">
      <c r="R1663" s="89"/>
      <c r="S1663" s="89"/>
      <c r="T1663" s="89"/>
      <c r="U1663" s="89"/>
      <c r="V1663" s="89"/>
      <c r="W1663" s="89"/>
      <c r="X1663" s="89"/>
      <c r="Y1663" s="89"/>
      <c r="Z1663" s="89"/>
      <c r="AA1663" s="89"/>
      <c r="AB1663" s="89"/>
      <c r="AC1663" s="89"/>
      <c r="AD1663" s="89"/>
    </row>
    <row r="1664" spans="18:30" x14ac:dyDescent="0.3">
      <c r="R1664" s="89"/>
      <c r="S1664" s="89"/>
      <c r="T1664" s="89"/>
      <c r="U1664" s="89"/>
      <c r="V1664" s="89"/>
      <c r="W1664" s="89"/>
      <c r="X1664" s="89"/>
      <c r="Y1664" s="89"/>
      <c r="Z1664" s="89"/>
      <c r="AA1664" s="89"/>
      <c r="AB1664" s="89"/>
      <c r="AC1664" s="89"/>
      <c r="AD1664" s="89"/>
    </row>
    <row r="1665" spans="18:30" x14ac:dyDescent="0.3">
      <c r="R1665" s="89"/>
      <c r="S1665" s="89"/>
      <c r="T1665" s="89"/>
      <c r="U1665" s="89"/>
      <c r="V1665" s="89"/>
      <c r="W1665" s="89"/>
      <c r="X1665" s="89"/>
      <c r="Y1665" s="89"/>
      <c r="Z1665" s="89"/>
      <c r="AA1665" s="89"/>
      <c r="AB1665" s="89"/>
      <c r="AC1665" s="89"/>
      <c r="AD1665" s="89"/>
    </row>
    <row r="1666" spans="18:30" x14ac:dyDescent="0.3">
      <c r="R1666" s="89"/>
      <c r="S1666" s="89"/>
      <c r="T1666" s="89"/>
      <c r="U1666" s="89"/>
      <c r="V1666" s="89"/>
      <c r="W1666" s="89"/>
      <c r="X1666" s="89"/>
      <c r="Y1666" s="89"/>
      <c r="Z1666" s="89"/>
      <c r="AA1666" s="89"/>
      <c r="AB1666" s="89"/>
      <c r="AC1666" s="89"/>
      <c r="AD1666" s="89"/>
    </row>
    <row r="1667" spans="18:30" x14ac:dyDescent="0.3">
      <c r="R1667" s="89"/>
      <c r="S1667" s="89"/>
      <c r="T1667" s="89"/>
      <c r="U1667" s="89"/>
      <c r="V1667" s="89"/>
      <c r="W1667" s="89"/>
      <c r="X1667" s="89"/>
      <c r="Y1667" s="89"/>
      <c r="Z1667" s="89"/>
      <c r="AA1667" s="89"/>
      <c r="AB1667" s="89"/>
      <c r="AC1667" s="89"/>
      <c r="AD1667" s="89"/>
    </row>
    <row r="1668" spans="18:30" x14ac:dyDescent="0.3">
      <c r="R1668" s="89"/>
      <c r="S1668" s="89"/>
      <c r="T1668" s="89"/>
      <c r="U1668" s="89"/>
      <c r="V1668" s="89"/>
      <c r="W1668" s="89"/>
      <c r="X1668" s="89"/>
      <c r="Y1668" s="89"/>
      <c r="Z1668" s="89"/>
      <c r="AA1668" s="89"/>
      <c r="AB1668" s="89"/>
      <c r="AC1668" s="89"/>
      <c r="AD1668" s="89"/>
    </row>
    <row r="1669" spans="18:30" x14ac:dyDescent="0.3">
      <c r="R1669" s="89"/>
      <c r="S1669" s="89"/>
      <c r="T1669" s="89"/>
      <c r="U1669" s="89"/>
      <c r="V1669" s="89"/>
      <c r="W1669" s="89"/>
      <c r="X1669" s="89"/>
      <c r="Y1669" s="89"/>
      <c r="Z1669" s="89"/>
      <c r="AA1669" s="89"/>
      <c r="AB1669" s="89"/>
      <c r="AC1669" s="89"/>
      <c r="AD1669" s="89"/>
    </row>
    <row r="1670" spans="18:30" x14ac:dyDescent="0.3">
      <c r="R1670" s="89"/>
      <c r="S1670" s="89"/>
      <c r="T1670" s="89"/>
      <c r="U1670" s="89"/>
      <c r="V1670" s="89"/>
      <c r="W1670" s="89"/>
      <c r="X1670" s="89"/>
      <c r="Y1670" s="89"/>
      <c r="Z1670" s="89"/>
      <c r="AA1670" s="89"/>
      <c r="AB1670" s="89"/>
      <c r="AC1670" s="89"/>
      <c r="AD1670" s="89"/>
    </row>
    <row r="1671" spans="18:30" x14ac:dyDescent="0.3">
      <c r="R1671" s="89"/>
      <c r="S1671" s="89"/>
      <c r="T1671" s="89"/>
      <c r="U1671" s="89"/>
      <c r="V1671" s="89"/>
      <c r="W1671" s="89"/>
      <c r="X1671" s="89"/>
      <c r="Y1671" s="89"/>
      <c r="Z1671" s="89"/>
      <c r="AA1671" s="89"/>
      <c r="AB1671" s="89"/>
      <c r="AC1671" s="89"/>
      <c r="AD1671" s="89"/>
    </row>
    <row r="1672" spans="18:30" x14ac:dyDescent="0.3">
      <c r="R1672" s="89"/>
      <c r="S1672" s="89"/>
      <c r="T1672" s="89"/>
      <c r="U1672" s="89"/>
      <c r="V1672" s="89"/>
      <c r="W1672" s="89"/>
      <c r="X1672" s="89"/>
      <c r="Y1672" s="89"/>
      <c r="Z1672" s="89"/>
      <c r="AA1672" s="89"/>
      <c r="AB1672" s="89"/>
      <c r="AC1672" s="89"/>
      <c r="AD1672" s="89"/>
    </row>
    <row r="1673" spans="18:30" x14ac:dyDescent="0.3">
      <c r="R1673" s="89"/>
      <c r="S1673" s="89"/>
      <c r="T1673" s="89"/>
      <c r="U1673" s="89"/>
      <c r="V1673" s="89"/>
      <c r="W1673" s="89"/>
      <c r="X1673" s="89"/>
      <c r="Y1673" s="89"/>
      <c r="Z1673" s="89"/>
      <c r="AA1673" s="89"/>
      <c r="AB1673" s="89"/>
      <c r="AC1673" s="89"/>
      <c r="AD1673" s="89"/>
    </row>
    <row r="1674" spans="18:30" x14ac:dyDescent="0.3">
      <c r="R1674" s="89"/>
      <c r="S1674" s="89"/>
      <c r="T1674" s="89"/>
      <c r="U1674" s="89"/>
      <c r="V1674" s="89"/>
      <c r="W1674" s="89"/>
      <c r="X1674" s="89"/>
      <c r="Y1674" s="89"/>
      <c r="Z1674" s="89"/>
      <c r="AA1674" s="89"/>
      <c r="AB1674" s="89"/>
      <c r="AC1674" s="89"/>
      <c r="AD1674" s="89"/>
    </row>
    <row r="1675" spans="18:30" x14ac:dyDescent="0.3">
      <c r="R1675" s="89"/>
      <c r="S1675" s="89"/>
      <c r="T1675" s="89"/>
      <c r="U1675" s="89"/>
      <c r="V1675" s="89"/>
      <c r="W1675" s="89"/>
      <c r="X1675" s="89"/>
      <c r="Y1675" s="89"/>
      <c r="Z1675" s="89"/>
      <c r="AA1675" s="89"/>
      <c r="AB1675" s="89"/>
      <c r="AC1675" s="89"/>
      <c r="AD1675" s="89"/>
    </row>
    <row r="1676" spans="18:30" x14ac:dyDescent="0.3">
      <c r="R1676" s="89"/>
      <c r="S1676" s="89"/>
      <c r="T1676" s="89"/>
      <c r="U1676" s="89"/>
      <c r="V1676" s="89"/>
      <c r="W1676" s="89"/>
      <c r="X1676" s="89"/>
      <c r="Y1676" s="89"/>
      <c r="Z1676" s="89"/>
      <c r="AA1676" s="89"/>
      <c r="AB1676" s="89"/>
      <c r="AC1676" s="89"/>
      <c r="AD1676" s="89"/>
    </row>
    <row r="1677" spans="18:30" x14ac:dyDescent="0.3">
      <c r="R1677" s="89"/>
      <c r="S1677" s="89"/>
      <c r="T1677" s="89"/>
      <c r="U1677" s="89"/>
      <c r="V1677" s="89"/>
      <c r="W1677" s="89"/>
      <c r="X1677" s="89"/>
      <c r="Y1677" s="89"/>
      <c r="Z1677" s="89"/>
      <c r="AA1677" s="89"/>
      <c r="AB1677" s="89"/>
      <c r="AC1677" s="89"/>
      <c r="AD1677" s="89"/>
    </row>
    <row r="1678" spans="18:30" x14ac:dyDescent="0.3">
      <c r="R1678" s="89"/>
      <c r="S1678" s="89"/>
      <c r="T1678" s="89"/>
      <c r="U1678" s="89"/>
      <c r="V1678" s="89"/>
      <c r="W1678" s="89"/>
      <c r="X1678" s="89"/>
      <c r="Y1678" s="89"/>
      <c r="Z1678" s="89"/>
      <c r="AA1678" s="89"/>
      <c r="AB1678" s="89"/>
      <c r="AC1678" s="89"/>
      <c r="AD1678" s="89"/>
    </row>
    <row r="1679" spans="18:30" x14ac:dyDescent="0.3">
      <c r="R1679" s="89"/>
      <c r="S1679" s="89"/>
      <c r="T1679" s="89"/>
      <c r="U1679" s="89"/>
      <c r="V1679" s="89"/>
      <c r="W1679" s="89"/>
      <c r="X1679" s="89"/>
      <c r="Y1679" s="89"/>
      <c r="Z1679" s="89"/>
      <c r="AA1679" s="89"/>
      <c r="AB1679" s="89"/>
      <c r="AC1679" s="89"/>
      <c r="AD1679" s="89"/>
    </row>
    <row r="1680" spans="18:30" x14ac:dyDescent="0.3">
      <c r="R1680" s="89"/>
      <c r="S1680" s="89"/>
      <c r="T1680" s="89"/>
      <c r="U1680" s="89"/>
      <c r="V1680" s="89"/>
      <c r="W1680" s="89"/>
      <c r="X1680" s="89"/>
      <c r="Y1680" s="89"/>
      <c r="Z1680" s="89"/>
      <c r="AA1680" s="89"/>
      <c r="AB1680" s="89"/>
      <c r="AC1680" s="89"/>
      <c r="AD1680" s="89"/>
    </row>
    <row r="1681" spans="18:30" x14ac:dyDescent="0.3">
      <c r="R1681" s="89"/>
      <c r="S1681" s="89"/>
      <c r="T1681" s="89"/>
      <c r="U1681" s="89"/>
      <c r="V1681" s="89"/>
      <c r="W1681" s="89"/>
      <c r="X1681" s="89"/>
      <c r="Y1681" s="89"/>
      <c r="Z1681" s="89"/>
      <c r="AA1681" s="89"/>
      <c r="AB1681" s="89"/>
      <c r="AC1681" s="89"/>
      <c r="AD1681" s="89"/>
    </row>
    <row r="1682" spans="18:30" x14ac:dyDescent="0.3">
      <c r="R1682" s="89"/>
      <c r="S1682" s="89"/>
      <c r="T1682" s="89"/>
      <c r="U1682" s="89"/>
      <c r="V1682" s="89"/>
      <c r="W1682" s="89"/>
      <c r="X1682" s="89"/>
      <c r="Y1682" s="89"/>
      <c r="Z1682" s="89"/>
      <c r="AA1682" s="89"/>
      <c r="AB1682" s="89"/>
      <c r="AC1682" s="89"/>
      <c r="AD1682" s="89"/>
    </row>
    <row r="1683" spans="18:30" x14ac:dyDescent="0.3">
      <c r="R1683" s="89"/>
      <c r="S1683" s="89"/>
      <c r="T1683" s="89"/>
      <c r="U1683" s="89"/>
      <c r="V1683" s="89"/>
      <c r="W1683" s="89"/>
      <c r="X1683" s="89"/>
      <c r="Y1683" s="89"/>
      <c r="Z1683" s="89"/>
      <c r="AA1683" s="89"/>
      <c r="AB1683" s="89"/>
      <c r="AC1683" s="89"/>
      <c r="AD1683" s="89"/>
    </row>
    <row r="1684" spans="18:30" x14ac:dyDescent="0.3">
      <c r="R1684" s="89"/>
      <c r="S1684" s="89"/>
      <c r="T1684" s="89"/>
      <c r="U1684" s="89"/>
      <c r="V1684" s="89"/>
      <c r="W1684" s="89"/>
      <c r="X1684" s="89"/>
      <c r="Y1684" s="89"/>
      <c r="Z1684" s="89"/>
      <c r="AA1684" s="89"/>
      <c r="AB1684" s="89"/>
      <c r="AC1684" s="89"/>
      <c r="AD1684" s="89"/>
    </row>
    <row r="1685" spans="18:30" x14ac:dyDescent="0.3">
      <c r="R1685" s="89"/>
      <c r="S1685" s="89"/>
      <c r="T1685" s="89"/>
      <c r="U1685" s="89"/>
      <c r="V1685" s="89"/>
      <c r="W1685" s="89"/>
      <c r="X1685" s="89"/>
      <c r="Y1685" s="89"/>
      <c r="Z1685" s="89"/>
      <c r="AA1685" s="89"/>
      <c r="AB1685" s="89"/>
      <c r="AC1685" s="89"/>
      <c r="AD1685" s="89"/>
    </row>
    <row r="1686" spans="18:30" x14ac:dyDescent="0.3">
      <c r="R1686" s="89"/>
      <c r="S1686" s="89"/>
      <c r="T1686" s="89"/>
      <c r="U1686" s="89"/>
      <c r="V1686" s="89"/>
      <c r="W1686" s="89"/>
      <c r="X1686" s="89"/>
      <c r="Y1686" s="89"/>
      <c r="Z1686" s="89"/>
      <c r="AA1686" s="89"/>
      <c r="AB1686" s="89"/>
      <c r="AC1686" s="89"/>
      <c r="AD1686" s="89"/>
    </row>
    <row r="1687" spans="18:30" x14ac:dyDescent="0.3">
      <c r="R1687" s="89"/>
      <c r="S1687" s="89"/>
      <c r="T1687" s="89"/>
      <c r="U1687" s="89"/>
      <c r="V1687" s="89"/>
      <c r="W1687" s="89"/>
      <c r="X1687" s="89"/>
      <c r="Y1687" s="89"/>
      <c r="Z1687" s="89"/>
      <c r="AA1687" s="89"/>
      <c r="AB1687" s="89"/>
      <c r="AC1687" s="89"/>
      <c r="AD1687" s="89"/>
    </row>
    <row r="1688" spans="18:30" x14ac:dyDescent="0.3">
      <c r="R1688" s="89"/>
      <c r="S1688" s="89"/>
      <c r="T1688" s="89"/>
      <c r="U1688" s="89"/>
      <c r="V1688" s="89"/>
      <c r="W1688" s="89"/>
      <c r="X1688" s="89"/>
      <c r="Y1688" s="89"/>
      <c r="Z1688" s="89"/>
      <c r="AA1688" s="89"/>
      <c r="AB1688" s="89"/>
      <c r="AC1688" s="89"/>
      <c r="AD1688" s="89"/>
    </row>
    <row r="1689" spans="18:30" x14ac:dyDescent="0.3">
      <c r="R1689" s="89"/>
      <c r="S1689" s="89"/>
      <c r="T1689" s="89"/>
      <c r="U1689" s="89"/>
      <c r="V1689" s="89"/>
      <c r="W1689" s="89"/>
      <c r="X1689" s="89"/>
      <c r="Y1689" s="89"/>
      <c r="Z1689" s="89"/>
      <c r="AA1689" s="89"/>
      <c r="AB1689" s="89"/>
      <c r="AC1689" s="89"/>
      <c r="AD1689" s="89"/>
    </row>
    <row r="1690" spans="18:30" x14ac:dyDescent="0.3">
      <c r="R1690" s="89"/>
      <c r="S1690" s="89"/>
      <c r="T1690" s="89"/>
      <c r="U1690" s="89"/>
      <c r="V1690" s="89"/>
      <c r="W1690" s="89"/>
      <c r="X1690" s="89"/>
      <c r="Y1690" s="89"/>
      <c r="Z1690" s="89"/>
      <c r="AA1690" s="89"/>
      <c r="AB1690" s="89"/>
      <c r="AC1690" s="89"/>
      <c r="AD1690" s="89"/>
    </row>
    <row r="1691" spans="18:30" x14ac:dyDescent="0.3">
      <c r="R1691" s="89"/>
      <c r="S1691" s="89"/>
      <c r="T1691" s="89"/>
      <c r="U1691" s="89"/>
      <c r="V1691" s="89"/>
      <c r="W1691" s="89"/>
      <c r="X1691" s="89"/>
      <c r="Y1691" s="89"/>
      <c r="Z1691" s="89"/>
      <c r="AA1691" s="89"/>
      <c r="AB1691" s="89"/>
      <c r="AC1691" s="89"/>
      <c r="AD1691" s="89"/>
    </row>
    <row r="1692" spans="18:30" x14ac:dyDescent="0.3">
      <c r="R1692" s="89"/>
      <c r="S1692" s="89"/>
      <c r="T1692" s="89"/>
      <c r="U1692" s="89"/>
      <c r="V1692" s="89"/>
      <c r="W1692" s="89"/>
      <c r="X1692" s="89"/>
      <c r="Y1692" s="89"/>
      <c r="Z1692" s="89"/>
      <c r="AA1692" s="89"/>
      <c r="AB1692" s="89"/>
      <c r="AC1692" s="89"/>
      <c r="AD1692" s="89"/>
    </row>
    <row r="1693" spans="18:30" x14ac:dyDescent="0.3">
      <c r="R1693" s="89"/>
      <c r="S1693" s="89"/>
      <c r="T1693" s="89"/>
      <c r="U1693" s="89"/>
      <c r="V1693" s="89"/>
      <c r="W1693" s="89"/>
      <c r="X1693" s="89"/>
      <c r="Y1693" s="89"/>
      <c r="Z1693" s="89"/>
      <c r="AA1693" s="89"/>
      <c r="AB1693" s="89"/>
      <c r="AC1693" s="89"/>
      <c r="AD1693" s="89"/>
    </row>
    <row r="1694" spans="18:30" x14ac:dyDescent="0.3">
      <c r="R1694" s="89"/>
      <c r="S1694" s="89"/>
      <c r="T1694" s="89"/>
      <c r="U1694" s="89"/>
      <c r="V1694" s="89"/>
      <c r="W1694" s="89"/>
      <c r="X1694" s="89"/>
      <c r="Y1694" s="89"/>
      <c r="Z1694" s="89"/>
      <c r="AA1694" s="89"/>
      <c r="AB1694" s="89"/>
      <c r="AC1694" s="89"/>
      <c r="AD1694" s="89"/>
    </row>
    <row r="1695" spans="18:30" x14ac:dyDescent="0.3">
      <c r="R1695" s="89"/>
      <c r="S1695" s="89"/>
      <c r="T1695" s="89"/>
      <c r="U1695" s="89"/>
      <c r="V1695" s="89"/>
      <c r="W1695" s="89"/>
      <c r="X1695" s="89"/>
      <c r="Y1695" s="89"/>
      <c r="Z1695" s="89"/>
      <c r="AA1695" s="89"/>
      <c r="AB1695" s="89"/>
      <c r="AC1695" s="89"/>
      <c r="AD1695" s="89"/>
    </row>
    <row r="1696" spans="18:30" x14ac:dyDescent="0.3">
      <c r="R1696" s="89"/>
      <c r="S1696" s="89"/>
      <c r="T1696" s="89"/>
      <c r="U1696" s="89"/>
      <c r="V1696" s="89"/>
      <c r="W1696" s="89"/>
      <c r="X1696" s="89"/>
      <c r="Y1696" s="89"/>
      <c r="Z1696" s="89"/>
      <c r="AA1696" s="89"/>
      <c r="AB1696" s="89"/>
      <c r="AC1696" s="89"/>
      <c r="AD1696" s="89"/>
    </row>
    <row r="1697" spans="18:30" x14ac:dyDescent="0.3">
      <c r="R1697" s="89"/>
      <c r="S1697" s="89"/>
      <c r="T1697" s="89"/>
      <c r="U1697" s="89"/>
      <c r="V1697" s="89"/>
      <c r="W1697" s="89"/>
      <c r="X1697" s="89"/>
      <c r="Y1697" s="89"/>
      <c r="Z1697" s="89"/>
      <c r="AA1697" s="89"/>
      <c r="AB1697" s="89"/>
      <c r="AC1697" s="89"/>
      <c r="AD1697" s="89"/>
    </row>
    <row r="1698" spans="18:30" x14ac:dyDescent="0.3">
      <c r="R1698" s="89"/>
      <c r="S1698" s="89"/>
      <c r="T1698" s="89"/>
      <c r="U1698" s="89"/>
      <c r="V1698" s="89"/>
      <c r="W1698" s="89"/>
      <c r="X1698" s="89"/>
      <c r="Y1698" s="89"/>
      <c r="Z1698" s="89"/>
      <c r="AA1698" s="89"/>
      <c r="AB1698" s="89"/>
      <c r="AC1698" s="89"/>
      <c r="AD1698" s="89"/>
    </row>
    <row r="1699" spans="18:30" x14ac:dyDescent="0.3">
      <c r="R1699" s="89"/>
      <c r="S1699" s="89"/>
      <c r="T1699" s="89"/>
      <c r="U1699" s="89"/>
      <c r="V1699" s="89"/>
      <c r="W1699" s="89"/>
      <c r="X1699" s="89"/>
      <c r="Y1699" s="89"/>
      <c r="Z1699" s="89"/>
      <c r="AA1699" s="89"/>
      <c r="AB1699" s="89"/>
      <c r="AC1699" s="89"/>
      <c r="AD1699" s="89"/>
    </row>
    <row r="1700" spans="18:30" x14ac:dyDescent="0.3">
      <c r="R1700" s="89"/>
      <c r="S1700" s="89"/>
      <c r="T1700" s="89"/>
      <c r="U1700" s="89"/>
      <c r="V1700" s="89"/>
      <c r="W1700" s="89"/>
      <c r="X1700" s="89"/>
      <c r="Y1700" s="89"/>
      <c r="Z1700" s="89"/>
      <c r="AA1700" s="89"/>
      <c r="AB1700" s="89"/>
      <c r="AC1700" s="89"/>
      <c r="AD1700" s="89"/>
    </row>
    <row r="1701" spans="18:30" x14ac:dyDescent="0.3">
      <c r="R1701" s="89"/>
      <c r="S1701" s="89"/>
      <c r="T1701" s="89"/>
      <c r="U1701" s="89"/>
      <c r="V1701" s="89"/>
      <c r="W1701" s="89"/>
      <c r="X1701" s="89"/>
      <c r="Y1701" s="89"/>
      <c r="Z1701" s="89"/>
      <c r="AA1701" s="89"/>
      <c r="AB1701" s="89"/>
      <c r="AC1701" s="89"/>
      <c r="AD1701" s="89"/>
    </row>
    <row r="1702" spans="18:30" x14ac:dyDescent="0.3">
      <c r="R1702" s="89"/>
      <c r="S1702" s="89"/>
      <c r="T1702" s="89"/>
      <c r="U1702" s="89"/>
      <c r="V1702" s="89"/>
      <c r="W1702" s="89"/>
      <c r="X1702" s="89"/>
      <c r="Y1702" s="89"/>
      <c r="Z1702" s="89"/>
      <c r="AA1702" s="89"/>
      <c r="AB1702" s="89"/>
      <c r="AC1702" s="89"/>
      <c r="AD1702" s="89"/>
    </row>
    <row r="1703" spans="18:30" x14ac:dyDescent="0.3">
      <c r="R1703" s="89"/>
      <c r="S1703" s="89"/>
      <c r="T1703" s="89"/>
      <c r="U1703" s="89"/>
      <c r="V1703" s="89"/>
      <c r="W1703" s="89"/>
      <c r="X1703" s="89"/>
      <c r="Y1703" s="89"/>
      <c r="Z1703" s="89"/>
      <c r="AA1703" s="89"/>
      <c r="AB1703" s="89"/>
      <c r="AC1703" s="89"/>
      <c r="AD1703" s="89"/>
    </row>
    <row r="1704" spans="18:30" x14ac:dyDescent="0.3">
      <c r="R1704" s="89"/>
      <c r="S1704" s="89"/>
      <c r="T1704" s="89"/>
      <c r="U1704" s="89"/>
      <c r="V1704" s="89"/>
      <c r="W1704" s="89"/>
      <c r="X1704" s="89"/>
      <c r="Y1704" s="89"/>
      <c r="Z1704" s="89"/>
      <c r="AA1704" s="89"/>
      <c r="AB1704" s="89"/>
      <c r="AC1704" s="89"/>
      <c r="AD1704" s="89"/>
    </row>
    <row r="1705" spans="18:30" x14ac:dyDescent="0.3">
      <c r="R1705" s="89"/>
      <c r="S1705" s="89"/>
      <c r="T1705" s="89"/>
      <c r="U1705" s="89"/>
      <c r="V1705" s="89"/>
      <c r="W1705" s="89"/>
      <c r="X1705" s="89"/>
      <c r="Y1705" s="89"/>
      <c r="Z1705" s="89"/>
      <c r="AA1705" s="89"/>
      <c r="AB1705" s="89"/>
      <c r="AC1705" s="89"/>
      <c r="AD1705" s="89"/>
    </row>
    <row r="1706" spans="18:30" x14ac:dyDescent="0.3">
      <c r="R1706" s="89"/>
      <c r="S1706" s="89"/>
      <c r="T1706" s="89"/>
      <c r="U1706" s="89"/>
      <c r="V1706" s="89"/>
      <c r="W1706" s="89"/>
      <c r="X1706" s="89"/>
      <c r="Y1706" s="89"/>
      <c r="Z1706" s="89"/>
      <c r="AA1706" s="89"/>
      <c r="AB1706" s="89"/>
      <c r="AC1706" s="89"/>
      <c r="AD1706" s="89"/>
    </row>
    <row r="1707" spans="18:30" x14ac:dyDescent="0.3">
      <c r="R1707" s="89"/>
      <c r="S1707" s="89"/>
      <c r="T1707" s="89"/>
      <c r="U1707" s="89"/>
      <c r="V1707" s="89"/>
      <c r="W1707" s="89"/>
      <c r="X1707" s="89"/>
      <c r="Y1707" s="89"/>
      <c r="Z1707" s="89"/>
      <c r="AA1707" s="89"/>
      <c r="AB1707" s="89"/>
      <c r="AC1707" s="89"/>
      <c r="AD1707" s="89"/>
    </row>
    <row r="1708" spans="18:30" x14ac:dyDescent="0.3">
      <c r="R1708" s="89"/>
      <c r="S1708" s="89"/>
      <c r="T1708" s="89"/>
      <c r="U1708" s="89"/>
      <c r="V1708" s="89"/>
      <c r="W1708" s="89"/>
      <c r="X1708" s="89"/>
      <c r="Y1708" s="89"/>
      <c r="Z1708" s="89"/>
      <c r="AA1708" s="89"/>
      <c r="AB1708" s="89"/>
      <c r="AC1708" s="89"/>
      <c r="AD1708" s="89"/>
    </row>
    <row r="1709" spans="18:30" x14ac:dyDescent="0.3">
      <c r="R1709" s="89"/>
      <c r="S1709" s="89"/>
      <c r="T1709" s="89"/>
      <c r="U1709" s="89"/>
      <c r="V1709" s="89"/>
      <c r="W1709" s="89"/>
      <c r="X1709" s="89"/>
      <c r="Y1709" s="89"/>
      <c r="Z1709" s="89"/>
      <c r="AA1709" s="89"/>
      <c r="AB1709" s="89"/>
      <c r="AC1709" s="89"/>
      <c r="AD1709" s="89"/>
    </row>
    <row r="1710" spans="18:30" x14ac:dyDescent="0.3">
      <c r="R1710" s="89"/>
      <c r="S1710" s="89"/>
      <c r="T1710" s="89"/>
      <c r="U1710" s="89"/>
      <c r="V1710" s="89"/>
      <c r="W1710" s="89"/>
      <c r="X1710" s="89"/>
      <c r="Y1710" s="89"/>
      <c r="Z1710" s="89"/>
      <c r="AA1710" s="89"/>
      <c r="AB1710" s="89"/>
      <c r="AC1710" s="89"/>
      <c r="AD1710" s="89"/>
    </row>
    <row r="1711" spans="18:30" x14ac:dyDescent="0.3">
      <c r="R1711" s="89"/>
      <c r="S1711" s="89"/>
      <c r="T1711" s="89"/>
      <c r="U1711" s="89"/>
      <c r="V1711" s="89"/>
      <c r="W1711" s="89"/>
      <c r="X1711" s="89"/>
      <c r="Y1711" s="89"/>
      <c r="Z1711" s="89"/>
      <c r="AA1711" s="89"/>
      <c r="AB1711" s="89"/>
      <c r="AC1711" s="89"/>
      <c r="AD1711" s="89"/>
    </row>
    <row r="1712" spans="18:30" x14ac:dyDescent="0.3">
      <c r="R1712" s="89"/>
      <c r="S1712" s="89"/>
      <c r="T1712" s="89"/>
      <c r="U1712" s="89"/>
      <c r="V1712" s="89"/>
      <c r="W1712" s="89"/>
      <c r="X1712" s="89"/>
      <c r="Y1712" s="89"/>
      <c r="Z1712" s="89"/>
      <c r="AA1712" s="89"/>
      <c r="AB1712" s="89"/>
      <c r="AC1712" s="89"/>
      <c r="AD1712" s="89"/>
    </row>
    <row r="1713" spans="18:30" x14ac:dyDescent="0.3">
      <c r="R1713" s="89"/>
      <c r="S1713" s="89"/>
      <c r="T1713" s="89"/>
      <c r="U1713" s="89"/>
      <c r="V1713" s="89"/>
      <c r="W1713" s="89"/>
      <c r="X1713" s="89"/>
      <c r="Y1713" s="89"/>
      <c r="Z1713" s="89"/>
      <c r="AA1713" s="89"/>
      <c r="AB1713" s="89"/>
      <c r="AC1713" s="89"/>
      <c r="AD1713" s="89"/>
    </row>
    <row r="1714" spans="18:30" x14ac:dyDescent="0.3">
      <c r="R1714" s="89"/>
      <c r="S1714" s="89"/>
      <c r="T1714" s="89"/>
      <c r="U1714" s="89"/>
      <c r="V1714" s="89"/>
      <c r="W1714" s="89"/>
      <c r="X1714" s="89"/>
      <c r="Y1714" s="89"/>
      <c r="Z1714" s="89"/>
      <c r="AA1714" s="89"/>
      <c r="AB1714" s="89"/>
      <c r="AC1714" s="89"/>
      <c r="AD1714" s="89"/>
    </row>
    <row r="1715" spans="18:30" x14ac:dyDescent="0.3">
      <c r="R1715" s="89"/>
      <c r="S1715" s="89"/>
      <c r="T1715" s="89"/>
      <c r="U1715" s="89"/>
      <c r="V1715" s="89"/>
      <c r="W1715" s="89"/>
      <c r="X1715" s="89"/>
      <c r="Y1715" s="89"/>
      <c r="Z1715" s="89"/>
      <c r="AA1715" s="89"/>
      <c r="AB1715" s="89"/>
      <c r="AC1715" s="89"/>
      <c r="AD1715" s="89"/>
    </row>
    <row r="1716" spans="18:30" x14ac:dyDescent="0.3">
      <c r="R1716" s="89"/>
      <c r="S1716" s="89"/>
      <c r="T1716" s="89"/>
      <c r="U1716" s="89"/>
      <c r="V1716" s="89"/>
      <c r="W1716" s="89"/>
      <c r="X1716" s="89"/>
      <c r="Y1716" s="89"/>
      <c r="Z1716" s="89"/>
      <c r="AA1716" s="89"/>
      <c r="AB1716" s="89"/>
      <c r="AC1716" s="89"/>
      <c r="AD1716" s="89"/>
    </row>
    <row r="1717" spans="18:30" x14ac:dyDescent="0.3">
      <c r="R1717" s="89"/>
      <c r="S1717" s="89"/>
      <c r="T1717" s="89"/>
      <c r="U1717" s="89"/>
      <c r="V1717" s="89"/>
      <c r="W1717" s="89"/>
      <c r="X1717" s="89"/>
      <c r="Y1717" s="89"/>
      <c r="Z1717" s="89"/>
      <c r="AA1717" s="89"/>
      <c r="AB1717" s="89"/>
      <c r="AC1717" s="89"/>
      <c r="AD1717" s="89"/>
    </row>
    <row r="1718" spans="18:30" x14ac:dyDescent="0.3">
      <c r="R1718" s="89"/>
      <c r="S1718" s="89"/>
      <c r="T1718" s="89"/>
      <c r="U1718" s="89"/>
      <c r="V1718" s="89"/>
      <c r="W1718" s="89"/>
      <c r="X1718" s="89"/>
      <c r="Y1718" s="89"/>
      <c r="Z1718" s="89"/>
      <c r="AA1718" s="89"/>
      <c r="AB1718" s="89"/>
      <c r="AC1718" s="89"/>
      <c r="AD1718" s="89"/>
    </row>
    <row r="1719" spans="18:30" x14ac:dyDescent="0.3">
      <c r="R1719" s="89"/>
      <c r="S1719" s="89"/>
      <c r="T1719" s="89"/>
      <c r="U1719" s="89"/>
      <c r="V1719" s="89"/>
      <c r="W1719" s="89"/>
      <c r="X1719" s="89"/>
      <c r="Y1719" s="89"/>
      <c r="Z1719" s="89"/>
      <c r="AA1719" s="89"/>
      <c r="AB1719" s="89"/>
      <c r="AC1719" s="89"/>
      <c r="AD1719" s="89"/>
    </row>
    <row r="1720" spans="18:30" x14ac:dyDescent="0.3">
      <c r="R1720" s="89"/>
      <c r="S1720" s="89"/>
      <c r="T1720" s="89"/>
      <c r="U1720" s="89"/>
      <c r="V1720" s="89"/>
      <c r="W1720" s="89"/>
      <c r="X1720" s="89"/>
      <c r="Y1720" s="89"/>
      <c r="Z1720" s="89"/>
      <c r="AA1720" s="89"/>
      <c r="AB1720" s="89"/>
      <c r="AC1720" s="89"/>
      <c r="AD1720" s="89"/>
    </row>
    <row r="1721" spans="18:30" x14ac:dyDescent="0.3">
      <c r="R1721" s="89"/>
      <c r="S1721" s="89"/>
      <c r="T1721" s="89"/>
      <c r="U1721" s="89"/>
      <c r="V1721" s="89"/>
      <c r="W1721" s="89"/>
      <c r="X1721" s="89"/>
      <c r="Y1721" s="89"/>
      <c r="Z1721" s="89"/>
      <c r="AA1721" s="89"/>
      <c r="AB1721" s="89"/>
      <c r="AC1721" s="89"/>
      <c r="AD1721" s="89"/>
    </row>
    <row r="1722" spans="18:30" x14ac:dyDescent="0.3">
      <c r="R1722" s="89"/>
      <c r="S1722" s="89"/>
      <c r="T1722" s="89"/>
      <c r="U1722" s="89"/>
      <c r="V1722" s="89"/>
      <c r="W1722" s="89"/>
      <c r="X1722" s="89"/>
      <c r="Y1722" s="89"/>
      <c r="Z1722" s="89"/>
      <c r="AA1722" s="89"/>
      <c r="AB1722" s="89"/>
      <c r="AC1722" s="89"/>
      <c r="AD1722" s="89"/>
    </row>
    <row r="1723" spans="18:30" x14ac:dyDescent="0.3">
      <c r="R1723" s="89"/>
      <c r="S1723" s="89"/>
      <c r="T1723" s="89"/>
      <c r="U1723" s="89"/>
      <c r="V1723" s="89"/>
      <c r="W1723" s="89"/>
      <c r="X1723" s="89"/>
      <c r="Y1723" s="89"/>
      <c r="Z1723" s="89"/>
      <c r="AA1723" s="89"/>
      <c r="AB1723" s="89"/>
      <c r="AC1723" s="89"/>
      <c r="AD1723" s="89"/>
    </row>
    <row r="1724" spans="18:30" x14ac:dyDescent="0.3">
      <c r="R1724" s="89"/>
      <c r="S1724" s="89"/>
      <c r="T1724" s="89"/>
      <c r="U1724" s="89"/>
      <c r="V1724" s="89"/>
      <c r="W1724" s="89"/>
      <c r="X1724" s="89"/>
      <c r="Y1724" s="89"/>
      <c r="Z1724" s="89"/>
      <c r="AA1724" s="89"/>
      <c r="AB1724" s="89"/>
      <c r="AC1724" s="89"/>
      <c r="AD1724" s="89"/>
    </row>
    <row r="1725" spans="18:30" x14ac:dyDescent="0.3">
      <c r="R1725" s="89"/>
      <c r="S1725" s="89"/>
      <c r="T1725" s="89"/>
      <c r="U1725" s="89"/>
      <c r="V1725" s="89"/>
      <c r="W1725" s="89"/>
      <c r="X1725" s="89"/>
      <c r="Y1725" s="89"/>
      <c r="Z1725" s="89"/>
      <c r="AA1725" s="89"/>
      <c r="AB1725" s="89"/>
      <c r="AC1725" s="89"/>
      <c r="AD1725" s="89"/>
    </row>
    <row r="1726" spans="18:30" x14ac:dyDescent="0.3">
      <c r="R1726" s="89"/>
      <c r="S1726" s="89"/>
      <c r="T1726" s="89"/>
      <c r="U1726" s="89"/>
      <c r="V1726" s="89"/>
      <c r="W1726" s="89"/>
      <c r="X1726" s="89"/>
      <c r="Y1726" s="89"/>
      <c r="Z1726" s="89"/>
      <c r="AA1726" s="89"/>
      <c r="AB1726" s="89"/>
      <c r="AC1726" s="89"/>
      <c r="AD1726" s="89"/>
    </row>
    <row r="1727" spans="18:30" x14ac:dyDescent="0.3">
      <c r="R1727" s="89"/>
      <c r="S1727" s="89"/>
      <c r="T1727" s="89"/>
      <c r="U1727" s="89"/>
      <c r="V1727" s="89"/>
      <c r="W1727" s="89"/>
      <c r="X1727" s="89"/>
      <c r="Y1727" s="89"/>
      <c r="Z1727" s="89"/>
      <c r="AA1727" s="89"/>
      <c r="AB1727" s="89"/>
      <c r="AC1727" s="89"/>
      <c r="AD1727" s="89"/>
    </row>
    <row r="1728" spans="18:30" x14ac:dyDescent="0.3">
      <c r="R1728" s="89"/>
      <c r="S1728" s="89"/>
      <c r="T1728" s="89"/>
      <c r="U1728" s="89"/>
      <c r="V1728" s="89"/>
      <c r="W1728" s="89"/>
      <c r="X1728" s="89"/>
      <c r="Y1728" s="89"/>
      <c r="Z1728" s="89"/>
      <c r="AA1728" s="89"/>
      <c r="AB1728" s="89"/>
      <c r="AC1728" s="89"/>
      <c r="AD1728" s="89"/>
    </row>
    <row r="1729" spans="18:30" x14ac:dyDescent="0.3">
      <c r="R1729" s="89"/>
      <c r="S1729" s="89"/>
      <c r="T1729" s="89"/>
      <c r="U1729" s="89"/>
      <c r="V1729" s="89"/>
      <c r="W1729" s="89"/>
      <c r="X1729" s="89"/>
      <c r="Y1729" s="89"/>
      <c r="Z1729" s="89"/>
      <c r="AA1729" s="89"/>
      <c r="AB1729" s="89"/>
      <c r="AC1729" s="89"/>
      <c r="AD1729" s="89"/>
    </row>
    <row r="1730" spans="18:30" x14ac:dyDescent="0.3">
      <c r="R1730" s="89"/>
      <c r="S1730" s="89"/>
      <c r="T1730" s="89"/>
      <c r="U1730" s="89"/>
      <c r="V1730" s="89"/>
      <c r="W1730" s="89"/>
      <c r="X1730" s="89"/>
      <c r="Y1730" s="89"/>
      <c r="Z1730" s="89"/>
      <c r="AA1730" s="89"/>
      <c r="AB1730" s="89"/>
      <c r="AC1730" s="89"/>
      <c r="AD1730" s="89"/>
    </row>
    <row r="1731" spans="18:30" x14ac:dyDescent="0.3">
      <c r="R1731" s="89"/>
      <c r="S1731" s="89"/>
      <c r="T1731" s="89"/>
      <c r="U1731" s="89"/>
      <c r="V1731" s="89"/>
      <c r="W1731" s="89"/>
      <c r="X1731" s="89"/>
      <c r="Y1731" s="89"/>
      <c r="Z1731" s="89"/>
      <c r="AA1731" s="89"/>
      <c r="AB1731" s="89"/>
      <c r="AC1731" s="89"/>
      <c r="AD1731" s="89"/>
    </row>
    <row r="1732" spans="18:30" x14ac:dyDescent="0.3">
      <c r="R1732" s="89"/>
      <c r="S1732" s="89"/>
      <c r="T1732" s="89"/>
      <c r="U1732" s="89"/>
      <c r="V1732" s="89"/>
      <c r="W1732" s="89"/>
      <c r="X1732" s="89"/>
      <c r="Y1732" s="89"/>
      <c r="Z1732" s="89"/>
      <c r="AA1732" s="89"/>
      <c r="AB1732" s="89"/>
      <c r="AC1732" s="89"/>
      <c r="AD1732" s="89"/>
    </row>
    <row r="1733" spans="18:30" x14ac:dyDescent="0.3">
      <c r="R1733" s="89"/>
      <c r="S1733" s="89"/>
      <c r="T1733" s="89"/>
      <c r="U1733" s="89"/>
      <c r="V1733" s="89"/>
      <c r="W1733" s="89"/>
      <c r="X1733" s="89"/>
      <c r="Y1733" s="89"/>
      <c r="Z1733" s="89"/>
      <c r="AA1733" s="89"/>
      <c r="AB1733" s="89"/>
      <c r="AC1733" s="89"/>
      <c r="AD1733" s="89"/>
    </row>
    <row r="1734" spans="18:30" x14ac:dyDescent="0.3">
      <c r="R1734" s="89"/>
      <c r="S1734" s="89"/>
      <c r="T1734" s="89"/>
      <c r="U1734" s="89"/>
      <c r="V1734" s="89"/>
      <c r="W1734" s="89"/>
      <c r="X1734" s="89"/>
      <c r="Y1734" s="89"/>
      <c r="Z1734" s="89"/>
      <c r="AA1734" s="89"/>
      <c r="AB1734" s="89"/>
      <c r="AC1734" s="89"/>
      <c r="AD1734" s="89"/>
    </row>
    <row r="1735" spans="18:30" x14ac:dyDescent="0.3">
      <c r="R1735" s="89"/>
      <c r="S1735" s="89"/>
      <c r="T1735" s="89"/>
      <c r="U1735" s="89"/>
      <c r="V1735" s="89"/>
      <c r="W1735" s="89"/>
      <c r="X1735" s="89"/>
      <c r="Y1735" s="89"/>
      <c r="Z1735" s="89"/>
      <c r="AA1735" s="89"/>
      <c r="AB1735" s="89"/>
      <c r="AC1735" s="89"/>
      <c r="AD1735" s="89"/>
    </row>
    <row r="1736" spans="18:30" x14ac:dyDescent="0.3">
      <c r="R1736" s="89"/>
      <c r="S1736" s="89"/>
      <c r="T1736" s="89"/>
      <c r="U1736" s="89"/>
      <c r="V1736" s="89"/>
      <c r="W1736" s="89"/>
      <c r="X1736" s="89"/>
      <c r="Y1736" s="89"/>
      <c r="Z1736" s="89"/>
      <c r="AA1736" s="89"/>
      <c r="AB1736" s="89"/>
      <c r="AC1736" s="89"/>
      <c r="AD1736" s="89"/>
    </row>
    <row r="1737" spans="18:30" x14ac:dyDescent="0.3">
      <c r="R1737" s="89"/>
      <c r="S1737" s="89"/>
      <c r="T1737" s="89"/>
      <c r="U1737" s="89"/>
      <c r="V1737" s="89"/>
      <c r="W1737" s="89"/>
      <c r="X1737" s="89"/>
      <c r="Y1737" s="89"/>
      <c r="Z1737" s="89"/>
      <c r="AA1737" s="89"/>
      <c r="AB1737" s="89"/>
      <c r="AC1737" s="89"/>
      <c r="AD1737" s="89"/>
    </row>
    <row r="1738" spans="18:30" x14ac:dyDescent="0.3">
      <c r="R1738" s="89"/>
      <c r="S1738" s="89"/>
      <c r="T1738" s="89"/>
      <c r="U1738" s="89"/>
      <c r="V1738" s="89"/>
      <c r="W1738" s="89"/>
      <c r="X1738" s="89"/>
      <c r="Y1738" s="89"/>
      <c r="Z1738" s="89"/>
      <c r="AA1738" s="89"/>
      <c r="AB1738" s="89"/>
      <c r="AC1738" s="89"/>
      <c r="AD1738" s="89"/>
    </row>
    <row r="1739" spans="18:30" x14ac:dyDescent="0.3">
      <c r="R1739" s="89"/>
      <c r="S1739" s="89"/>
      <c r="T1739" s="89"/>
      <c r="U1739" s="89"/>
      <c r="V1739" s="89"/>
      <c r="W1739" s="89"/>
      <c r="X1739" s="89"/>
      <c r="Y1739" s="89"/>
      <c r="Z1739" s="89"/>
      <c r="AA1739" s="89"/>
      <c r="AB1739" s="89"/>
      <c r="AC1739" s="89"/>
      <c r="AD1739" s="89"/>
    </row>
    <row r="1740" spans="18:30" x14ac:dyDescent="0.3">
      <c r="R1740" s="89"/>
      <c r="S1740" s="89"/>
      <c r="T1740" s="89"/>
      <c r="U1740" s="89"/>
      <c r="V1740" s="89"/>
      <c r="W1740" s="89"/>
      <c r="X1740" s="89"/>
      <c r="Y1740" s="89"/>
      <c r="Z1740" s="89"/>
      <c r="AA1740" s="89"/>
      <c r="AB1740" s="89"/>
      <c r="AC1740" s="89"/>
      <c r="AD1740" s="89"/>
    </row>
    <row r="1741" spans="18:30" x14ac:dyDescent="0.3">
      <c r="R1741" s="89"/>
      <c r="S1741" s="89"/>
      <c r="T1741" s="89"/>
      <c r="U1741" s="89"/>
      <c r="V1741" s="89"/>
      <c r="W1741" s="89"/>
      <c r="X1741" s="89"/>
      <c r="Y1741" s="89"/>
      <c r="Z1741" s="89"/>
      <c r="AA1741" s="89"/>
      <c r="AB1741" s="89"/>
      <c r="AC1741" s="89"/>
      <c r="AD1741" s="89"/>
    </row>
    <row r="1742" spans="18:30" x14ac:dyDescent="0.3">
      <c r="R1742" s="89"/>
      <c r="S1742" s="89"/>
      <c r="T1742" s="89"/>
      <c r="U1742" s="89"/>
      <c r="V1742" s="89"/>
      <c r="W1742" s="89"/>
      <c r="X1742" s="89"/>
      <c r="Y1742" s="89"/>
      <c r="Z1742" s="89"/>
      <c r="AA1742" s="89"/>
      <c r="AB1742" s="89"/>
      <c r="AC1742" s="89"/>
      <c r="AD1742" s="89"/>
    </row>
    <row r="1743" spans="18:30" x14ac:dyDescent="0.3">
      <c r="R1743" s="89"/>
      <c r="S1743" s="89"/>
      <c r="T1743" s="89"/>
      <c r="U1743" s="89"/>
      <c r="V1743" s="89"/>
      <c r="W1743" s="89"/>
      <c r="X1743" s="89"/>
      <c r="Y1743" s="89"/>
      <c r="Z1743" s="89"/>
      <c r="AA1743" s="89"/>
      <c r="AB1743" s="89"/>
      <c r="AC1743" s="89"/>
      <c r="AD1743" s="89"/>
    </row>
    <row r="1744" spans="18:30" x14ac:dyDescent="0.3">
      <c r="R1744" s="89"/>
      <c r="S1744" s="89"/>
      <c r="T1744" s="89"/>
      <c r="U1744" s="89"/>
      <c r="V1744" s="89"/>
      <c r="W1744" s="89"/>
      <c r="X1744" s="89"/>
      <c r="Y1744" s="89"/>
      <c r="Z1744" s="89"/>
      <c r="AA1744" s="89"/>
      <c r="AB1744" s="89"/>
      <c r="AC1744" s="89"/>
      <c r="AD1744" s="89"/>
    </row>
    <row r="1745" spans="18:30" x14ac:dyDescent="0.3">
      <c r="R1745" s="89"/>
      <c r="S1745" s="89"/>
      <c r="T1745" s="89"/>
      <c r="U1745" s="89"/>
      <c r="V1745" s="89"/>
      <c r="W1745" s="89"/>
      <c r="X1745" s="89"/>
      <c r="Y1745" s="89"/>
      <c r="Z1745" s="89"/>
      <c r="AA1745" s="89"/>
      <c r="AB1745" s="89"/>
      <c r="AC1745" s="89"/>
      <c r="AD1745" s="89"/>
    </row>
    <row r="1746" spans="18:30" x14ac:dyDescent="0.3">
      <c r="R1746" s="89"/>
      <c r="S1746" s="89"/>
      <c r="T1746" s="89"/>
      <c r="U1746" s="89"/>
      <c r="V1746" s="89"/>
      <c r="W1746" s="89"/>
      <c r="X1746" s="89"/>
      <c r="Y1746" s="89"/>
      <c r="Z1746" s="89"/>
      <c r="AA1746" s="89"/>
      <c r="AB1746" s="89"/>
      <c r="AC1746" s="89"/>
      <c r="AD1746" s="89"/>
    </row>
    <row r="1747" spans="18:30" x14ac:dyDescent="0.3">
      <c r="R1747" s="89"/>
      <c r="S1747" s="89"/>
      <c r="T1747" s="89"/>
      <c r="U1747" s="89"/>
      <c r="V1747" s="89"/>
      <c r="W1747" s="89"/>
      <c r="X1747" s="89"/>
      <c r="Y1747" s="89"/>
      <c r="Z1747" s="89"/>
      <c r="AA1747" s="89"/>
      <c r="AB1747" s="89"/>
      <c r="AC1747" s="89"/>
      <c r="AD1747" s="89"/>
    </row>
    <row r="1748" spans="18:30" x14ac:dyDescent="0.3">
      <c r="R1748" s="89"/>
      <c r="S1748" s="89"/>
      <c r="T1748" s="89"/>
      <c r="U1748" s="89"/>
      <c r="V1748" s="89"/>
      <c r="W1748" s="89"/>
      <c r="X1748" s="89"/>
      <c r="Y1748" s="89"/>
      <c r="Z1748" s="89"/>
      <c r="AA1748" s="89"/>
      <c r="AB1748" s="89"/>
      <c r="AC1748" s="89"/>
      <c r="AD1748" s="89"/>
    </row>
    <row r="1749" spans="18:30" x14ac:dyDescent="0.3">
      <c r="R1749" s="89"/>
      <c r="S1749" s="89"/>
      <c r="T1749" s="89"/>
      <c r="U1749" s="89"/>
      <c r="V1749" s="89"/>
      <c r="W1749" s="89"/>
      <c r="X1749" s="89"/>
      <c r="Y1749" s="89"/>
      <c r="Z1749" s="89"/>
      <c r="AA1749" s="89"/>
      <c r="AB1749" s="89"/>
      <c r="AC1749" s="89"/>
      <c r="AD1749" s="89"/>
    </row>
    <row r="1750" spans="18:30" x14ac:dyDescent="0.3">
      <c r="R1750" s="89"/>
      <c r="S1750" s="89"/>
      <c r="T1750" s="89"/>
      <c r="U1750" s="89"/>
      <c r="V1750" s="89"/>
      <c r="W1750" s="89"/>
      <c r="X1750" s="89"/>
      <c r="Y1750" s="89"/>
      <c r="Z1750" s="89"/>
      <c r="AA1750" s="89"/>
      <c r="AB1750" s="89"/>
      <c r="AC1750" s="89"/>
      <c r="AD1750" s="89"/>
    </row>
    <row r="1751" spans="18:30" x14ac:dyDescent="0.3">
      <c r="R1751" s="89"/>
      <c r="S1751" s="89"/>
      <c r="T1751" s="89"/>
      <c r="U1751" s="89"/>
      <c r="V1751" s="89"/>
      <c r="W1751" s="89"/>
      <c r="X1751" s="89"/>
      <c r="Y1751" s="89"/>
      <c r="Z1751" s="89"/>
      <c r="AA1751" s="89"/>
      <c r="AB1751" s="89"/>
      <c r="AC1751" s="89"/>
      <c r="AD1751" s="89"/>
    </row>
    <row r="1752" spans="18:30" x14ac:dyDescent="0.3">
      <c r="R1752" s="89"/>
      <c r="S1752" s="89"/>
      <c r="T1752" s="89"/>
      <c r="U1752" s="89"/>
      <c r="V1752" s="89"/>
      <c r="W1752" s="89"/>
      <c r="X1752" s="89"/>
      <c r="Y1752" s="89"/>
      <c r="Z1752" s="89"/>
      <c r="AA1752" s="89"/>
      <c r="AB1752" s="89"/>
      <c r="AC1752" s="89"/>
      <c r="AD1752" s="89"/>
    </row>
    <row r="1753" spans="18:30" x14ac:dyDescent="0.3">
      <c r="R1753" s="89"/>
      <c r="S1753" s="89"/>
      <c r="T1753" s="89"/>
      <c r="U1753" s="89"/>
      <c r="V1753" s="89"/>
      <c r="W1753" s="89"/>
      <c r="X1753" s="89"/>
      <c r="Y1753" s="89"/>
      <c r="Z1753" s="89"/>
      <c r="AA1753" s="89"/>
      <c r="AB1753" s="89"/>
      <c r="AC1753" s="89"/>
      <c r="AD1753" s="89"/>
    </row>
    <row r="1754" spans="18:30" x14ac:dyDescent="0.3">
      <c r="R1754" s="89"/>
      <c r="S1754" s="89"/>
      <c r="T1754" s="89"/>
      <c r="U1754" s="89"/>
      <c r="V1754" s="89"/>
      <c r="W1754" s="89"/>
      <c r="X1754" s="89"/>
      <c r="Y1754" s="89"/>
      <c r="Z1754" s="89"/>
      <c r="AA1754" s="89"/>
      <c r="AB1754" s="89"/>
      <c r="AC1754" s="89"/>
      <c r="AD1754" s="89"/>
    </row>
    <row r="1755" spans="18:30" x14ac:dyDescent="0.3">
      <c r="R1755" s="89"/>
      <c r="S1755" s="89"/>
      <c r="T1755" s="89"/>
      <c r="U1755" s="89"/>
      <c r="V1755" s="89"/>
      <c r="W1755" s="89"/>
      <c r="X1755" s="89"/>
      <c r="Y1755" s="89"/>
      <c r="Z1755" s="89"/>
      <c r="AA1755" s="89"/>
      <c r="AB1755" s="89"/>
      <c r="AC1755" s="89"/>
      <c r="AD1755" s="89"/>
    </row>
    <row r="1756" spans="18:30" x14ac:dyDescent="0.3">
      <c r="R1756" s="89"/>
      <c r="S1756" s="89"/>
      <c r="T1756" s="89"/>
      <c r="U1756" s="89"/>
      <c r="V1756" s="89"/>
      <c r="W1756" s="89"/>
      <c r="X1756" s="89"/>
      <c r="Y1756" s="89"/>
      <c r="Z1756" s="89"/>
      <c r="AA1756" s="89"/>
      <c r="AB1756" s="89"/>
      <c r="AC1756" s="89"/>
      <c r="AD1756" s="89"/>
    </row>
    <row r="1757" spans="18:30" x14ac:dyDescent="0.3">
      <c r="R1757" s="89"/>
      <c r="S1757" s="89"/>
      <c r="T1757" s="89"/>
      <c r="U1757" s="89"/>
      <c r="V1757" s="89"/>
      <c r="W1757" s="89"/>
      <c r="X1757" s="89"/>
      <c r="Y1757" s="89"/>
      <c r="Z1757" s="89"/>
      <c r="AA1757" s="89"/>
      <c r="AB1757" s="89"/>
      <c r="AC1757" s="89"/>
      <c r="AD1757" s="89"/>
    </row>
    <row r="1758" spans="18:30" x14ac:dyDescent="0.3">
      <c r="R1758" s="89"/>
      <c r="S1758" s="89"/>
      <c r="T1758" s="89"/>
      <c r="U1758" s="89"/>
      <c r="V1758" s="89"/>
      <c r="W1758" s="89"/>
      <c r="X1758" s="89"/>
      <c r="Y1758" s="89"/>
      <c r="Z1758" s="89"/>
      <c r="AA1758" s="89"/>
      <c r="AB1758" s="89"/>
      <c r="AC1758" s="89"/>
      <c r="AD1758" s="89"/>
    </row>
    <row r="1759" spans="18:30" x14ac:dyDescent="0.3">
      <c r="R1759" s="89"/>
      <c r="S1759" s="89"/>
      <c r="T1759" s="89"/>
      <c r="U1759" s="89"/>
      <c r="V1759" s="89"/>
      <c r="W1759" s="89"/>
      <c r="X1759" s="89"/>
      <c r="Y1759" s="89"/>
      <c r="Z1759" s="89"/>
      <c r="AA1759" s="89"/>
      <c r="AB1759" s="89"/>
      <c r="AC1759" s="89"/>
      <c r="AD1759" s="89"/>
    </row>
    <row r="1760" spans="18:30" x14ac:dyDescent="0.3">
      <c r="R1760" s="89"/>
      <c r="S1760" s="89"/>
      <c r="T1760" s="89"/>
      <c r="U1760" s="89"/>
      <c r="V1760" s="89"/>
      <c r="W1760" s="89"/>
      <c r="X1760" s="89"/>
      <c r="Y1760" s="89"/>
      <c r="Z1760" s="89"/>
      <c r="AA1760" s="89"/>
      <c r="AB1760" s="89"/>
      <c r="AC1760" s="89"/>
      <c r="AD1760" s="89"/>
    </row>
    <row r="1761" spans="18:30" x14ac:dyDescent="0.3">
      <c r="R1761" s="89"/>
      <c r="S1761" s="89"/>
      <c r="T1761" s="89"/>
      <c r="U1761" s="89"/>
      <c r="V1761" s="89"/>
      <c r="W1761" s="89"/>
      <c r="X1761" s="89"/>
      <c r="Y1761" s="89"/>
      <c r="Z1761" s="89"/>
      <c r="AA1761" s="89"/>
      <c r="AB1761" s="89"/>
      <c r="AC1761" s="89"/>
      <c r="AD1761" s="89"/>
    </row>
    <row r="1762" spans="18:30" x14ac:dyDescent="0.3">
      <c r="R1762" s="89"/>
      <c r="S1762" s="89"/>
      <c r="T1762" s="89"/>
      <c r="U1762" s="89"/>
      <c r="V1762" s="89"/>
      <c r="W1762" s="89"/>
      <c r="X1762" s="89"/>
      <c r="Y1762" s="89"/>
      <c r="Z1762" s="89"/>
      <c r="AA1762" s="89"/>
      <c r="AB1762" s="89"/>
      <c r="AC1762" s="89"/>
      <c r="AD1762" s="89"/>
    </row>
    <row r="1763" spans="18:30" x14ac:dyDescent="0.3">
      <c r="R1763" s="89"/>
      <c r="S1763" s="89"/>
      <c r="T1763" s="89"/>
      <c r="U1763" s="89"/>
      <c r="V1763" s="89"/>
      <c r="W1763" s="89"/>
      <c r="X1763" s="89"/>
      <c r="Y1763" s="89"/>
      <c r="Z1763" s="89"/>
      <c r="AA1763" s="89"/>
      <c r="AB1763" s="89"/>
      <c r="AC1763" s="89"/>
      <c r="AD1763" s="89"/>
    </row>
    <row r="1764" spans="18:30" x14ac:dyDescent="0.3">
      <c r="R1764" s="89"/>
      <c r="S1764" s="89"/>
      <c r="T1764" s="89"/>
      <c r="U1764" s="89"/>
      <c r="V1764" s="89"/>
      <c r="W1764" s="89"/>
      <c r="X1764" s="89"/>
      <c r="Y1764" s="89"/>
      <c r="Z1764" s="89"/>
      <c r="AA1764" s="89"/>
      <c r="AB1764" s="89"/>
      <c r="AC1764" s="89"/>
      <c r="AD1764" s="89"/>
    </row>
    <row r="1765" spans="18:30" x14ac:dyDescent="0.3">
      <c r="R1765" s="89"/>
      <c r="S1765" s="89"/>
      <c r="T1765" s="89"/>
      <c r="U1765" s="89"/>
      <c r="V1765" s="89"/>
      <c r="W1765" s="89"/>
      <c r="X1765" s="89"/>
      <c r="Y1765" s="89"/>
      <c r="Z1765" s="89"/>
      <c r="AA1765" s="89"/>
      <c r="AB1765" s="89"/>
      <c r="AC1765" s="89"/>
      <c r="AD1765" s="89"/>
    </row>
    <row r="1766" spans="18:30" x14ac:dyDescent="0.3">
      <c r="R1766" s="89"/>
      <c r="S1766" s="89"/>
      <c r="T1766" s="89"/>
      <c r="U1766" s="89"/>
      <c r="V1766" s="89"/>
      <c r="W1766" s="89"/>
      <c r="X1766" s="89"/>
      <c r="Y1766" s="89"/>
      <c r="Z1766" s="89"/>
      <c r="AA1766" s="89"/>
      <c r="AB1766" s="89"/>
      <c r="AC1766" s="89"/>
      <c r="AD1766" s="89"/>
    </row>
    <row r="1767" spans="18:30" x14ac:dyDescent="0.3">
      <c r="R1767" s="89"/>
      <c r="S1767" s="89"/>
      <c r="T1767" s="89"/>
      <c r="U1767" s="89"/>
      <c r="V1767" s="89"/>
      <c r="W1767" s="89"/>
      <c r="X1767" s="89"/>
      <c r="Y1767" s="89"/>
      <c r="Z1767" s="89"/>
      <c r="AA1767" s="89"/>
      <c r="AB1767" s="89"/>
      <c r="AC1767" s="89"/>
      <c r="AD1767" s="89"/>
    </row>
    <row r="1768" spans="18:30" x14ac:dyDescent="0.3">
      <c r="R1768" s="89"/>
      <c r="S1768" s="89"/>
      <c r="T1768" s="89"/>
      <c r="U1768" s="89"/>
      <c r="V1768" s="89"/>
      <c r="W1768" s="89"/>
      <c r="X1768" s="89"/>
      <c r="Y1768" s="89"/>
      <c r="Z1768" s="89"/>
      <c r="AA1768" s="89"/>
      <c r="AB1768" s="89"/>
      <c r="AC1768" s="89"/>
      <c r="AD1768" s="89"/>
    </row>
    <row r="1769" spans="18:30" x14ac:dyDescent="0.3">
      <c r="R1769" s="89"/>
      <c r="S1769" s="89"/>
      <c r="T1769" s="89"/>
      <c r="U1769" s="89"/>
      <c r="V1769" s="89"/>
      <c r="W1769" s="89"/>
      <c r="X1769" s="89"/>
      <c r="Y1769" s="89"/>
      <c r="Z1769" s="89"/>
      <c r="AA1769" s="89"/>
      <c r="AB1769" s="89"/>
      <c r="AC1769" s="89"/>
      <c r="AD1769" s="89"/>
    </row>
    <row r="1770" spans="18:30" x14ac:dyDescent="0.3">
      <c r="R1770" s="89"/>
      <c r="S1770" s="89"/>
      <c r="T1770" s="89"/>
      <c r="U1770" s="89"/>
      <c r="V1770" s="89"/>
      <c r="W1770" s="89"/>
      <c r="X1770" s="89"/>
      <c r="Y1770" s="89"/>
      <c r="Z1770" s="89"/>
      <c r="AA1770" s="89"/>
      <c r="AB1770" s="89"/>
      <c r="AC1770" s="89"/>
      <c r="AD1770" s="89"/>
    </row>
    <row r="1771" spans="18:30" x14ac:dyDescent="0.3">
      <c r="R1771" s="89"/>
      <c r="S1771" s="89"/>
      <c r="T1771" s="89"/>
      <c r="U1771" s="89"/>
      <c r="V1771" s="89"/>
      <c r="W1771" s="89"/>
      <c r="X1771" s="89"/>
      <c r="Y1771" s="89"/>
      <c r="Z1771" s="89"/>
      <c r="AA1771" s="89"/>
      <c r="AB1771" s="89"/>
      <c r="AC1771" s="89"/>
      <c r="AD1771" s="89"/>
    </row>
    <row r="1772" spans="18:30" x14ac:dyDescent="0.3">
      <c r="R1772" s="89"/>
      <c r="S1772" s="89"/>
      <c r="T1772" s="89"/>
      <c r="U1772" s="89"/>
      <c r="V1772" s="89"/>
      <c r="W1772" s="89"/>
      <c r="X1772" s="89"/>
      <c r="Y1772" s="89"/>
      <c r="Z1772" s="89"/>
      <c r="AA1772" s="89"/>
      <c r="AB1772" s="89"/>
      <c r="AC1772" s="89"/>
      <c r="AD1772" s="89"/>
    </row>
    <row r="1773" spans="18:30" x14ac:dyDescent="0.3">
      <c r="R1773" s="89"/>
      <c r="S1773" s="89"/>
      <c r="T1773" s="89"/>
      <c r="U1773" s="89"/>
      <c r="V1773" s="89"/>
      <c r="W1773" s="89"/>
      <c r="X1773" s="89"/>
      <c r="Y1773" s="89"/>
      <c r="Z1773" s="89"/>
      <c r="AA1773" s="89"/>
      <c r="AB1773" s="89"/>
      <c r="AC1773" s="89"/>
      <c r="AD1773" s="89"/>
    </row>
    <row r="1774" spans="18:30" x14ac:dyDescent="0.3">
      <c r="R1774" s="89"/>
      <c r="S1774" s="89"/>
      <c r="T1774" s="89"/>
      <c r="U1774" s="89"/>
      <c r="V1774" s="89"/>
      <c r="W1774" s="89"/>
      <c r="X1774" s="89"/>
      <c r="Y1774" s="89"/>
      <c r="Z1774" s="89"/>
      <c r="AA1774" s="89"/>
      <c r="AB1774" s="89"/>
      <c r="AC1774" s="89"/>
      <c r="AD1774" s="89"/>
    </row>
    <row r="1775" spans="18:30" x14ac:dyDescent="0.3">
      <c r="R1775" s="89"/>
      <c r="S1775" s="89"/>
      <c r="T1775" s="89"/>
      <c r="U1775" s="89"/>
      <c r="V1775" s="89"/>
      <c r="W1775" s="89"/>
      <c r="X1775" s="89"/>
      <c r="Y1775" s="89"/>
      <c r="Z1775" s="89"/>
      <c r="AA1775" s="89"/>
      <c r="AB1775" s="89"/>
      <c r="AC1775" s="89"/>
      <c r="AD1775" s="89"/>
    </row>
    <row r="1776" spans="18:30" x14ac:dyDescent="0.3">
      <c r="R1776" s="89"/>
      <c r="S1776" s="89"/>
      <c r="T1776" s="89"/>
      <c r="U1776" s="89"/>
      <c r="V1776" s="89"/>
      <c r="W1776" s="89"/>
      <c r="X1776" s="89"/>
      <c r="Y1776" s="89"/>
      <c r="Z1776" s="89"/>
      <c r="AA1776" s="89"/>
      <c r="AB1776" s="89"/>
      <c r="AC1776" s="89"/>
      <c r="AD1776" s="89"/>
    </row>
    <row r="1777" spans="18:30" x14ac:dyDescent="0.3">
      <c r="R1777" s="89"/>
      <c r="S1777" s="89"/>
      <c r="T1777" s="89"/>
      <c r="U1777" s="89"/>
      <c r="V1777" s="89"/>
      <c r="W1777" s="89"/>
      <c r="X1777" s="89"/>
      <c r="Y1777" s="89"/>
      <c r="Z1777" s="89"/>
      <c r="AA1777" s="89"/>
      <c r="AB1777" s="89"/>
      <c r="AC1777" s="89"/>
      <c r="AD1777" s="89"/>
    </row>
    <row r="1778" spans="18:30" x14ac:dyDescent="0.3">
      <c r="R1778" s="89"/>
      <c r="S1778" s="89"/>
      <c r="T1778" s="89"/>
      <c r="U1778" s="89"/>
      <c r="V1778" s="89"/>
      <c r="W1778" s="89"/>
      <c r="X1778" s="89"/>
      <c r="Y1778" s="89"/>
      <c r="Z1778" s="89"/>
      <c r="AA1778" s="89"/>
      <c r="AB1778" s="89"/>
      <c r="AC1778" s="89"/>
      <c r="AD1778" s="89"/>
    </row>
    <row r="1779" spans="18:30" x14ac:dyDescent="0.3">
      <c r="R1779" s="89"/>
      <c r="S1779" s="89"/>
      <c r="T1779" s="89"/>
      <c r="U1779" s="89"/>
      <c r="V1779" s="89"/>
      <c r="W1779" s="89"/>
      <c r="X1779" s="89"/>
      <c r="Y1779" s="89"/>
      <c r="Z1779" s="89"/>
      <c r="AA1779" s="89"/>
      <c r="AB1779" s="89"/>
      <c r="AC1779" s="89"/>
      <c r="AD1779" s="89"/>
    </row>
    <row r="1780" spans="18:30" x14ac:dyDescent="0.3">
      <c r="R1780" s="89"/>
      <c r="S1780" s="89"/>
      <c r="T1780" s="89"/>
      <c r="U1780" s="89"/>
      <c r="V1780" s="89"/>
      <c r="W1780" s="89"/>
      <c r="X1780" s="89"/>
      <c r="Y1780" s="89"/>
      <c r="Z1780" s="89"/>
      <c r="AA1780" s="89"/>
      <c r="AB1780" s="89"/>
      <c r="AC1780" s="89"/>
      <c r="AD1780" s="89"/>
    </row>
    <row r="1781" spans="18:30" x14ac:dyDescent="0.3">
      <c r="R1781" s="89"/>
      <c r="S1781" s="89"/>
      <c r="T1781" s="89"/>
      <c r="U1781" s="89"/>
      <c r="V1781" s="89"/>
      <c r="W1781" s="89"/>
      <c r="X1781" s="89"/>
      <c r="Y1781" s="89"/>
      <c r="Z1781" s="89"/>
      <c r="AA1781" s="89"/>
      <c r="AB1781" s="89"/>
      <c r="AC1781" s="89"/>
      <c r="AD1781" s="89"/>
    </row>
    <row r="1782" spans="18:30" x14ac:dyDescent="0.3">
      <c r="R1782" s="89"/>
      <c r="S1782" s="89"/>
      <c r="T1782" s="89"/>
      <c r="U1782" s="89"/>
      <c r="V1782" s="89"/>
      <c r="W1782" s="89"/>
      <c r="X1782" s="89"/>
      <c r="Y1782" s="89"/>
      <c r="Z1782" s="89"/>
      <c r="AA1782" s="89"/>
      <c r="AB1782" s="89"/>
      <c r="AC1782" s="89"/>
      <c r="AD1782" s="89"/>
    </row>
    <row r="1783" spans="18:30" x14ac:dyDescent="0.3">
      <c r="R1783" s="89"/>
      <c r="S1783" s="89"/>
      <c r="T1783" s="89"/>
      <c r="U1783" s="89"/>
      <c r="V1783" s="89"/>
      <c r="W1783" s="89"/>
      <c r="X1783" s="89"/>
      <c r="Y1783" s="89"/>
      <c r="Z1783" s="89"/>
      <c r="AA1783" s="89"/>
      <c r="AB1783" s="89"/>
      <c r="AC1783" s="89"/>
      <c r="AD1783" s="89"/>
    </row>
    <row r="1784" spans="18:30" x14ac:dyDescent="0.3">
      <c r="R1784" s="89"/>
      <c r="S1784" s="89"/>
      <c r="T1784" s="89"/>
      <c r="U1784" s="89"/>
      <c r="V1784" s="89"/>
      <c r="W1784" s="89"/>
      <c r="X1784" s="89"/>
      <c r="Y1784" s="89"/>
      <c r="Z1784" s="89"/>
      <c r="AA1784" s="89"/>
      <c r="AB1784" s="89"/>
      <c r="AC1784" s="89"/>
      <c r="AD1784" s="89"/>
    </row>
    <row r="1785" spans="18:30" x14ac:dyDescent="0.3">
      <c r="R1785" s="89"/>
      <c r="S1785" s="89"/>
      <c r="T1785" s="89"/>
      <c r="U1785" s="89"/>
      <c r="V1785" s="89"/>
      <c r="W1785" s="89"/>
      <c r="X1785" s="89"/>
      <c r="Y1785" s="89"/>
      <c r="Z1785" s="89"/>
      <c r="AA1785" s="89"/>
      <c r="AB1785" s="89"/>
      <c r="AC1785" s="89"/>
      <c r="AD1785" s="89"/>
    </row>
    <row r="1786" spans="18:30" x14ac:dyDescent="0.3">
      <c r="R1786" s="89"/>
      <c r="S1786" s="89"/>
      <c r="T1786" s="89"/>
      <c r="U1786" s="89"/>
      <c r="V1786" s="89"/>
      <c r="W1786" s="89"/>
      <c r="X1786" s="89"/>
      <c r="Y1786" s="89"/>
      <c r="Z1786" s="89"/>
      <c r="AA1786" s="89"/>
      <c r="AB1786" s="89"/>
      <c r="AC1786" s="89"/>
      <c r="AD1786" s="89"/>
    </row>
    <row r="1787" spans="18:30" x14ac:dyDescent="0.3">
      <c r="R1787" s="89"/>
      <c r="S1787" s="89"/>
      <c r="T1787" s="89"/>
      <c r="U1787" s="89"/>
      <c r="V1787" s="89"/>
      <c r="W1787" s="89"/>
      <c r="X1787" s="89"/>
      <c r="Y1787" s="89"/>
      <c r="Z1787" s="89"/>
      <c r="AA1787" s="89"/>
      <c r="AB1787" s="89"/>
      <c r="AC1787" s="89"/>
      <c r="AD1787" s="89"/>
    </row>
    <row r="1788" spans="18:30" x14ac:dyDescent="0.3">
      <c r="R1788" s="89"/>
      <c r="S1788" s="89"/>
      <c r="T1788" s="89"/>
      <c r="U1788" s="89"/>
      <c r="V1788" s="89"/>
      <c r="W1788" s="89"/>
      <c r="X1788" s="89"/>
      <c r="Y1788" s="89"/>
      <c r="Z1788" s="89"/>
      <c r="AA1788" s="89"/>
      <c r="AB1788" s="89"/>
      <c r="AC1788" s="89"/>
      <c r="AD1788" s="89"/>
    </row>
    <row r="1789" spans="18:30" x14ac:dyDescent="0.3">
      <c r="R1789" s="89"/>
      <c r="S1789" s="89"/>
      <c r="T1789" s="89"/>
      <c r="U1789" s="89"/>
      <c r="V1789" s="89"/>
      <c r="W1789" s="89"/>
      <c r="X1789" s="89"/>
      <c r="Y1789" s="89"/>
      <c r="Z1789" s="89"/>
      <c r="AA1789" s="89"/>
      <c r="AB1789" s="89"/>
      <c r="AC1789" s="89"/>
      <c r="AD1789" s="89"/>
    </row>
    <row r="1790" spans="18:30" x14ac:dyDescent="0.3">
      <c r="R1790" s="89"/>
      <c r="S1790" s="89"/>
      <c r="T1790" s="89"/>
      <c r="U1790" s="89"/>
      <c r="V1790" s="89"/>
      <c r="W1790" s="89"/>
      <c r="X1790" s="89"/>
      <c r="Y1790" s="89"/>
      <c r="Z1790" s="89"/>
      <c r="AA1790" s="89"/>
      <c r="AB1790" s="89"/>
      <c r="AC1790" s="89"/>
      <c r="AD1790" s="89"/>
    </row>
    <row r="1791" spans="18:30" x14ac:dyDescent="0.3">
      <c r="R1791" s="89"/>
      <c r="S1791" s="89"/>
      <c r="T1791" s="89"/>
      <c r="U1791" s="89"/>
      <c r="V1791" s="89"/>
      <c r="W1791" s="89"/>
      <c r="X1791" s="89"/>
      <c r="Y1791" s="89"/>
      <c r="Z1791" s="89"/>
      <c r="AA1791" s="89"/>
      <c r="AB1791" s="89"/>
      <c r="AC1791" s="89"/>
      <c r="AD1791" s="89"/>
    </row>
    <row r="1792" spans="18:30" x14ac:dyDescent="0.3">
      <c r="R1792" s="89"/>
      <c r="S1792" s="89"/>
      <c r="T1792" s="89"/>
      <c r="U1792" s="89"/>
      <c r="V1792" s="89"/>
      <c r="W1792" s="89"/>
      <c r="X1792" s="89"/>
      <c r="Y1792" s="89"/>
      <c r="Z1792" s="89"/>
      <c r="AA1792" s="89"/>
      <c r="AB1792" s="89"/>
      <c r="AC1792" s="89"/>
      <c r="AD1792" s="89"/>
    </row>
    <row r="1793" spans="18:30" x14ac:dyDescent="0.3">
      <c r="R1793" s="89"/>
      <c r="S1793" s="89"/>
      <c r="T1793" s="89"/>
      <c r="U1793" s="89"/>
      <c r="V1793" s="89"/>
      <c r="W1793" s="89"/>
      <c r="X1793" s="89"/>
      <c r="Y1793" s="89"/>
      <c r="Z1793" s="89"/>
      <c r="AA1793" s="89"/>
      <c r="AB1793" s="89"/>
      <c r="AC1793" s="89"/>
      <c r="AD1793" s="89"/>
    </row>
    <row r="1794" spans="18:30" x14ac:dyDescent="0.3">
      <c r="R1794" s="89"/>
      <c r="S1794" s="89"/>
      <c r="T1794" s="89"/>
      <c r="U1794" s="89"/>
      <c r="V1794" s="89"/>
      <c r="W1794" s="89"/>
      <c r="X1794" s="89"/>
      <c r="Y1794" s="89"/>
      <c r="Z1794" s="89"/>
      <c r="AA1794" s="89"/>
      <c r="AB1794" s="89"/>
      <c r="AC1794" s="89"/>
      <c r="AD1794" s="89"/>
    </row>
    <row r="1795" spans="18:30" x14ac:dyDescent="0.3">
      <c r="R1795" s="89"/>
      <c r="S1795" s="89"/>
      <c r="T1795" s="89"/>
      <c r="U1795" s="89"/>
      <c r="V1795" s="89"/>
      <c r="W1795" s="89"/>
      <c r="X1795" s="89"/>
      <c r="Y1795" s="89"/>
      <c r="Z1795" s="89"/>
      <c r="AA1795" s="89"/>
      <c r="AB1795" s="89"/>
      <c r="AC1795" s="89"/>
      <c r="AD1795" s="89"/>
    </row>
    <row r="1796" spans="18:30" x14ac:dyDescent="0.3">
      <c r="R1796" s="89"/>
      <c r="S1796" s="89"/>
      <c r="T1796" s="89"/>
      <c r="U1796" s="89"/>
      <c r="V1796" s="89"/>
      <c r="W1796" s="89"/>
      <c r="X1796" s="89"/>
      <c r="Y1796" s="89"/>
      <c r="Z1796" s="89"/>
      <c r="AA1796" s="89"/>
      <c r="AB1796" s="89"/>
      <c r="AC1796" s="89"/>
      <c r="AD1796" s="89"/>
    </row>
    <row r="1797" spans="18:30" x14ac:dyDescent="0.3">
      <c r="R1797" s="89"/>
      <c r="S1797" s="89"/>
      <c r="T1797" s="89"/>
      <c r="U1797" s="89"/>
      <c r="V1797" s="89"/>
      <c r="W1797" s="89"/>
      <c r="X1797" s="89"/>
      <c r="Y1797" s="89"/>
      <c r="Z1797" s="89"/>
      <c r="AA1797" s="89"/>
      <c r="AB1797" s="89"/>
      <c r="AC1797" s="89"/>
      <c r="AD1797" s="89"/>
    </row>
    <row r="1798" spans="18:30" x14ac:dyDescent="0.3">
      <c r="R1798" s="89"/>
      <c r="S1798" s="89"/>
      <c r="T1798" s="89"/>
      <c r="U1798" s="89"/>
      <c r="V1798" s="89"/>
      <c r="W1798" s="89"/>
      <c r="X1798" s="89"/>
      <c r="Y1798" s="89"/>
      <c r="Z1798" s="89"/>
      <c r="AA1798" s="89"/>
      <c r="AB1798" s="89"/>
      <c r="AC1798" s="89"/>
      <c r="AD1798" s="89"/>
    </row>
    <row r="1799" spans="18:30" x14ac:dyDescent="0.3">
      <c r="R1799" s="89"/>
      <c r="S1799" s="89"/>
      <c r="T1799" s="89"/>
      <c r="U1799" s="89"/>
      <c r="V1799" s="89"/>
      <c r="W1799" s="89"/>
      <c r="X1799" s="89"/>
      <c r="Y1799" s="89"/>
      <c r="Z1799" s="89"/>
      <c r="AA1799" s="89"/>
      <c r="AB1799" s="89"/>
      <c r="AC1799" s="89"/>
      <c r="AD1799" s="89"/>
    </row>
    <row r="1800" spans="18:30" x14ac:dyDescent="0.3">
      <c r="R1800" s="89"/>
      <c r="S1800" s="89"/>
      <c r="T1800" s="89"/>
      <c r="U1800" s="89"/>
      <c r="V1800" s="89"/>
      <c r="W1800" s="89"/>
      <c r="X1800" s="89"/>
      <c r="Y1800" s="89"/>
      <c r="Z1800" s="89"/>
      <c r="AA1800" s="89"/>
      <c r="AB1800" s="89"/>
      <c r="AC1800" s="89"/>
      <c r="AD1800" s="89"/>
    </row>
    <row r="1801" spans="18:30" x14ac:dyDescent="0.3">
      <c r="R1801" s="89"/>
      <c r="S1801" s="89"/>
      <c r="T1801" s="89"/>
      <c r="U1801" s="89"/>
      <c r="V1801" s="89"/>
      <c r="W1801" s="89"/>
      <c r="X1801" s="89"/>
      <c r="Y1801" s="89"/>
      <c r="Z1801" s="89"/>
      <c r="AA1801" s="89"/>
      <c r="AB1801" s="89"/>
      <c r="AC1801" s="89"/>
      <c r="AD1801" s="89"/>
    </row>
    <row r="1802" spans="18:30" x14ac:dyDescent="0.3">
      <c r="R1802" s="89"/>
      <c r="S1802" s="89"/>
      <c r="T1802" s="89"/>
      <c r="U1802" s="89"/>
      <c r="V1802" s="89"/>
      <c r="W1802" s="89"/>
      <c r="X1802" s="89"/>
      <c r="Y1802" s="89"/>
      <c r="Z1802" s="89"/>
      <c r="AA1802" s="89"/>
      <c r="AB1802" s="89"/>
      <c r="AC1802" s="89"/>
      <c r="AD1802" s="89"/>
    </row>
    <row r="1803" spans="18:30" x14ac:dyDescent="0.3">
      <c r="R1803" s="89"/>
      <c r="S1803" s="89"/>
      <c r="T1803" s="89"/>
      <c r="U1803" s="89"/>
      <c r="V1803" s="89"/>
      <c r="W1803" s="89"/>
      <c r="X1803" s="89"/>
      <c r="Y1803" s="89"/>
      <c r="Z1803" s="89"/>
      <c r="AA1803" s="89"/>
      <c r="AB1803" s="89"/>
      <c r="AC1803" s="89"/>
      <c r="AD1803" s="89"/>
    </row>
    <row r="1804" spans="18:30" x14ac:dyDescent="0.3">
      <c r="R1804" s="89"/>
      <c r="S1804" s="89"/>
      <c r="T1804" s="89"/>
      <c r="U1804" s="89"/>
      <c r="V1804" s="89"/>
      <c r="W1804" s="89"/>
      <c r="X1804" s="89"/>
      <c r="Y1804" s="89"/>
      <c r="Z1804" s="89"/>
      <c r="AA1804" s="89"/>
      <c r="AB1804" s="89"/>
      <c r="AC1804" s="89"/>
      <c r="AD1804" s="89"/>
    </row>
    <row r="1805" spans="18:30" x14ac:dyDescent="0.3">
      <c r="R1805" s="89"/>
      <c r="S1805" s="89"/>
      <c r="T1805" s="89"/>
      <c r="U1805" s="89"/>
      <c r="V1805" s="89"/>
      <c r="W1805" s="89"/>
      <c r="X1805" s="89"/>
      <c r="Y1805" s="89"/>
      <c r="Z1805" s="89"/>
      <c r="AA1805" s="89"/>
      <c r="AB1805" s="89"/>
      <c r="AC1805" s="89"/>
      <c r="AD1805" s="89"/>
    </row>
    <row r="1806" spans="18:30" x14ac:dyDescent="0.3">
      <c r="R1806" s="89"/>
      <c r="S1806" s="89"/>
      <c r="T1806" s="89"/>
      <c r="U1806" s="89"/>
      <c r="V1806" s="89"/>
      <c r="W1806" s="89"/>
      <c r="X1806" s="89"/>
      <c r="Y1806" s="89"/>
      <c r="Z1806" s="89"/>
      <c r="AA1806" s="89"/>
      <c r="AB1806" s="89"/>
      <c r="AC1806" s="89"/>
      <c r="AD1806" s="89"/>
    </row>
    <row r="1807" spans="18:30" x14ac:dyDescent="0.3">
      <c r="R1807" s="89"/>
      <c r="S1807" s="89"/>
      <c r="T1807" s="89"/>
      <c r="U1807" s="89"/>
      <c r="V1807" s="89"/>
      <c r="W1807" s="89"/>
      <c r="X1807" s="89"/>
      <c r="Y1807" s="89"/>
      <c r="Z1807" s="89"/>
      <c r="AA1807" s="89"/>
      <c r="AB1807" s="89"/>
      <c r="AC1807" s="89"/>
      <c r="AD1807" s="89"/>
    </row>
    <row r="1808" spans="18:30" x14ac:dyDescent="0.3">
      <c r="R1808" s="89"/>
      <c r="S1808" s="89"/>
      <c r="T1808" s="89"/>
      <c r="U1808" s="89"/>
      <c r="V1808" s="89"/>
      <c r="W1808" s="89"/>
      <c r="X1808" s="89"/>
      <c r="Y1808" s="89"/>
      <c r="Z1808" s="89"/>
      <c r="AA1808" s="89"/>
      <c r="AB1808" s="89"/>
      <c r="AC1808" s="89"/>
      <c r="AD1808" s="89"/>
    </row>
    <row r="1809" spans="18:30" x14ac:dyDescent="0.3">
      <c r="R1809" s="89"/>
      <c r="S1809" s="89"/>
      <c r="T1809" s="89"/>
      <c r="U1809" s="89"/>
      <c r="V1809" s="89"/>
      <c r="W1809" s="89"/>
      <c r="X1809" s="89"/>
      <c r="Y1809" s="89"/>
      <c r="Z1809" s="89"/>
      <c r="AA1809" s="89"/>
      <c r="AB1809" s="89"/>
      <c r="AC1809" s="89"/>
      <c r="AD1809" s="89"/>
    </row>
    <row r="1810" spans="18:30" x14ac:dyDescent="0.3">
      <c r="R1810" s="89"/>
      <c r="S1810" s="89"/>
      <c r="T1810" s="89"/>
      <c r="U1810" s="89"/>
      <c r="V1810" s="89"/>
      <c r="W1810" s="89"/>
      <c r="X1810" s="89"/>
      <c r="Y1810" s="89"/>
      <c r="Z1810" s="89"/>
      <c r="AA1810" s="89"/>
      <c r="AB1810" s="89"/>
      <c r="AC1810" s="89"/>
      <c r="AD1810" s="89"/>
    </row>
    <row r="1811" spans="18:30" x14ac:dyDescent="0.3">
      <c r="R1811" s="89"/>
      <c r="S1811" s="89"/>
      <c r="T1811" s="89"/>
      <c r="U1811" s="89"/>
      <c r="V1811" s="89"/>
      <c r="W1811" s="89"/>
      <c r="X1811" s="89"/>
      <c r="Y1811" s="89"/>
      <c r="Z1811" s="89"/>
      <c r="AA1811" s="89"/>
      <c r="AB1811" s="89"/>
      <c r="AC1811" s="89"/>
      <c r="AD1811" s="89"/>
    </row>
    <row r="1812" spans="18:30" x14ac:dyDescent="0.3">
      <c r="R1812" s="89"/>
      <c r="S1812" s="89"/>
      <c r="T1812" s="89"/>
      <c r="U1812" s="89"/>
      <c r="V1812" s="89"/>
      <c r="W1812" s="89"/>
      <c r="X1812" s="89"/>
      <c r="Y1812" s="89"/>
      <c r="Z1812" s="89"/>
      <c r="AA1812" s="89"/>
      <c r="AB1812" s="89"/>
      <c r="AC1812" s="89"/>
      <c r="AD1812" s="89"/>
    </row>
    <row r="1813" spans="18:30" x14ac:dyDescent="0.3">
      <c r="R1813" s="89"/>
      <c r="S1813" s="89"/>
      <c r="T1813" s="89"/>
      <c r="U1813" s="89"/>
      <c r="V1813" s="89"/>
      <c r="W1813" s="89"/>
      <c r="X1813" s="89"/>
      <c r="Y1813" s="89"/>
      <c r="Z1813" s="89"/>
      <c r="AA1813" s="89"/>
      <c r="AB1813" s="89"/>
      <c r="AC1813" s="89"/>
      <c r="AD1813" s="89"/>
    </row>
    <row r="1814" spans="18:30" x14ac:dyDescent="0.3">
      <c r="R1814" s="89"/>
      <c r="S1814" s="89"/>
      <c r="T1814" s="89"/>
      <c r="U1814" s="89"/>
      <c r="V1814" s="89"/>
      <c r="W1814" s="89"/>
      <c r="X1814" s="89"/>
      <c r="Y1814" s="89"/>
      <c r="Z1814" s="89"/>
      <c r="AA1814" s="89"/>
      <c r="AB1814" s="89"/>
      <c r="AC1814" s="89"/>
      <c r="AD1814" s="89"/>
    </row>
    <row r="1815" spans="18:30" x14ac:dyDescent="0.3">
      <c r="R1815" s="89"/>
      <c r="S1815" s="89"/>
      <c r="T1815" s="89"/>
      <c r="U1815" s="89"/>
      <c r="V1815" s="89"/>
      <c r="W1815" s="89"/>
      <c r="X1815" s="89"/>
      <c r="Y1815" s="89"/>
      <c r="Z1815" s="89"/>
      <c r="AA1815" s="89"/>
      <c r="AB1815" s="89"/>
      <c r="AC1815" s="89"/>
      <c r="AD1815" s="89"/>
    </row>
    <row r="1816" spans="18:30" x14ac:dyDescent="0.3">
      <c r="R1816" s="89"/>
      <c r="S1816" s="89"/>
      <c r="T1816" s="89"/>
      <c r="U1816" s="89"/>
      <c r="V1816" s="89"/>
      <c r="W1816" s="89"/>
      <c r="X1816" s="89"/>
      <c r="Y1816" s="89"/>
      <c r="Z1816" s="89"/>
      <c r="AA1816" s="89"/>
      <c r="AB1816" s="89"/>
      <c r="AC1816" s="89"/>
      <c r="AD1816" s="89"/>
    </row>
    <row r="1817" spans="18:30" x14ac:dyDescent="0.3">
      <c r="R1817" s="89"/>
      <c r="S1817" s="89"/>
      <c r="T1817" s="89"/>
      <c r="U1817" s="89"/>
      <c r="V1817" s="89"/>
      <c r="W1817" s="89"/>
      <c r="X1817" s="89"/>
      <c r="Y1817" s="89"/>
      <c r="Z1817" s="89"/>
      <c r="AA1817" s="89"/>
      <c r="AB1817" s="89"/>
      <c r="AC1817" s="89"/>
      <c r="AD1817" s="89"/>
    </row>
    <row r="1818" spans="18:30" x14ac:dyDescent="0.3">
      <c r="R1818" s="89"/>
      <c r="S1818" s="89"/>
      <c r="T1818" s="89"/>
      <c r="U1818" s="89"/>
      <c r="V1818" s="89"/>
      <c r="W1818" s="89"/>
      <c r="X1818" s="89"/>
      <c r="Y1818" s="89"/>
      <c r="Z1818" s="89"/>
      <c r="AA1818" s="89"/>
      <c r="AB1818" s="89"/>
      <c r="AC1818" s="89"/>
      <c r="AD1818" s="89"/>
    </row>
    <row r="1819" spans="18:30" x14ac:dyDescent="0.3">
      <c r="R1819" s="89"/>
      <c r="S1819" s="89"/>
      <c r="T1819" s="89"/>
      <c r="U1819" s="89"/>
      <c r="V1819" s="89"/>
      <c r="W1819" s="89"/>
      <c r="X1819" s="89"/>
      <c r="Y1819" s="89"/>
      <c r="Z1819" s="89"/>
      <c r="AA1819" s="89"/>
      <c r="AB1819" s="89"/>
      <c r="AC1819" s="89"/>
      <c r="AD1819" s="89"/>
    </row>
    <row r="1820" spans="18:30" x14ac:dyDescent="0.3">
      <c r="R1820" s="89"/>
      <c r="S1820" s="89"/>
      <c r="T1820" s="89"/>
      <c r="U1820" s="89"/>
      <c r="V1820" s="89"/>
      <c r="W1820" s="89"/>
      <c r="X1820" s="89"/>
      <c r="Y1820" s="89"/>
      <c r="Z1820" s="89"/>
      <c r="AA1820" s="89"/>
      <c r="AB1820" s="89"/>
      <c r="AC1820" s="89"/>
      <c r="AD1820" s="89"/>
    </row>
    <row r="1821" spans="18:30" x14ac:dyDescent="0.3">
      <c r="R1821" s="89"/>
      <c r="S1821" s="89"/>
      <c r="T1821" s="89"/>
      <c r="U1821" s="89"/>
      <c r="V1821" s="89"/>
      <c r="W1821" s="89"/>
      <c r="X1821" s="89"/>
      <c r="Y1821" s="89"/>
      <c r="Z1821" s="89"/>
      <c r="AA1821" s="89"/>
      <c r="AB1821" s="89"/>
      <c r="AC1821" s="89"/>
      <c r="AD1821" s="89"/>
    </row>
    <row r="1822" spans="18:30" x14ac:dyDescent="0.3">
      <c r="R1822" s="89"/>
      <c r="S1822" s="89"/>
      <c r="T1822" s="89"/>
      <c r="U1822" s="89"/>
      <c r="V1822" s="89"/>
      <c r="W1822" s="89"/>
      <c r="X1822" s="89"/>
      <c r="Y1822" s="89"/>
      <c r="Z1822" s="89"/>
      <c r="AA1822" s="89"/>
      <c r="AB1822" s="89"/>
      <c r="AC1822" s="89"/>
      <c r="AD1822" s="89"/>
    </row>
    <row r="1823" spans="18:30" x14ac:dyDescent="0.3">
      <c r="R1823" s="89"/>
      <c r="S1823" s="89"/>
      <c r="T1823" s="89"/>
      <c r="U1823" s="89"/>
      <c r="V1823" s="89"/>
      <c r="W1823" s="89"/>
      <c r="X1823" s="89"/>
      <c r="Y1823" s="89"/>
      <c r="Z1823" s="89"/>
      <c r="AA1823" s="89"/>
      <c r="AB1823" s="89"/>
      <c r="AC1823" s="89"/>
      <c r="AD1823" s="89"/>
    </row>
    <row r="1824" spans="18:30" x14ac:dyDescent="0.3">
      <c r="R1824" s="89"/>
      <c r="S1824" s="89"/>
      <c r="T1824" s="89"/>
      <c r="U1824" s="89"/>
      <c r="V1824" s="89"/>
      <c r="W1824" s="89"/>
      <c r="X1824" s="89"/>
      <c r="Y1824" s="89"/>
      <c r="Z1824" s="89"/>
      <c r="AA1824" s="89"/>
      <c r="AB1824" s="89"/>
      <c r="AC1824" s="89"/>
      <c r="AD1824" s="89"/>
    </row>
    <row r="1825" spans="18:30" x14ac:dyDescent="0.3">
      <c r="R1825" s="89"/>
      <c r="S1825" s="89"/>
      <c r="T1825" s="89"/>
      <c r="U1825" s="89"/>
      <c r="V1825" s="89"/>
      <c r="W1825" s="89"/>
      <c r="X1825" s="89"/>
      <c r="Y1825" s="89"/>
      <c r="Z1825" s="89"/>
      <c r="AA1825" s="89"/>
      <c r="AB1825" s="89"/>
      <c r="AC1825" s="89"/>
      <c r="AD1825" s="89"/>
    </row>
    <row r="1826" spans="18:30" x14ac:dyDescent="0.3">
      <c r="R1826" s="89"/>
      <c r="S1826" s="89"/>
      <c r="T1826" s="89"/>
      <c r="U1826" s="89"/>
      <c r="V1826" s="89"/>
      <c r="W1826" s="89"/>
      <c r="X1826" s="89"/>
      <c r="Y1826" s="89"/>
      <c r="Z1826" s="89"/>
      <c r="AA1826" s="89"/>
      <c r="AB1826" s="89"/>
      <c r="AC1826" s="89"/>
      <c r="AD1826" s="89"/>
    </row>
    <row r="1827" spans="18:30" x14ac:dyDescent="0.3">
      <c r="R1827" s="89"/>
      <c r="S1827" s="89"/>
      <c r="T1827" s="89"/>
      <c r="U1827" s="89"/>
      <c r="V1827" s="89"/>
      <c r="W1827" s="89"/>
      <c r="X1827" s="89"/>
      <c r="Y1827" s="89"/>
      <c r="Z1827" s="89"/>
      <c r="AA1827" s="89"/>
      <c r="AB1827" s="89"/>
      <c r="AC1827" s="89"/>
      <c r="AD1827" s="89"/>
    </row>
    <row r="1828" spans="18:30" x14ac:dyDescent="0.3">
      <c r="R1828" s="89"/>
      <c r="S1828" s="89"/>
      <c r="T1828" s="89"/>
      <c r="U1828" s="89"/>
      <c r="V1828" s="89"/>
      <c r="W1828" s="89"/>
      <c r="X1828" s="89"/>
      <c r="Y1828" s="89"/>
      <c r="Z1828" s="89"/>
      <c r="AA1828" s="89"/>
      <c r="AB1828" s="89"/>
      <c r="AC1828" s="89"/>
      <c r="AD1828" s="89"/>
    </row>
    <row r="1829" spans="18:30" x14ac:dyDescent="0.3">
      <c r="R1829" s="89"/>
      <c r="S1829" s="89"/>
      <c r="T1829" s="89"/>
      <c r="U1829" s="89"/>
      <c r="V1829" s="89"/>
      <c r="W1829" s="89"/>
      <c r="X1829" s="89"/>
      <c r="Y1829" s="89"/>
      <c r="Z1829" s="89"/>
      <c r="AA1829" s="89"/>
      <c r="AB1829" s="89"/>
      <c r="AC1829" s="89"/>
      <c r="AD1829" s="89"/>
    </row>
    <row r="1830" spans="18:30" x14ac:dyDescent="0.3">
      <c r="R1830" s="89"/>
      <c r="S1830" s="89"/>
      <c r="T1830" s="89"/>
      <c r="U1830" s="89"/>
      <c r="V1830" s="89"/>
      <c r="W1830" s="89"/>
      <c r="X1830" s="89"/>
      <c r="Y1830" s="89"/>
      <c r="Z1830" s="89"/>
      <c r="AA1830" s="89"/>
      <c r="AB1830" s="89"/>
      <c r="AC1830" s="89"/>
      <c r="AD1830" s="89"/>
    </row>
    <row r="1831" spans="18:30" x14ac:dyDescent="0.3">
      <c r="R1831" s="89"/>
      <c r="S1831" s="89"/>
      <c r="T1831" s="89"/>
      <c r="U1831" s="89"/>
      <c r="V1831" s="89"/>
      <c r="W1831" s="89"/>
      <c r="X1831" s="89"/>
      <c r="Y1831" s="89"/>
      <c r="Z1831" s="89"/>
      <c r="AA1831" s="89"/>
      <c r="AB1831" s="89"/>
      <c r="AC1831" s="89"/>
      <c r="AD1831" s="89"/>
    </row>
    <row r="1832" spans="18:30" x14ac:dyDescent="0.3">
      <c r="R1832" s="89"/>
      <c r="S1832" s="89"/>
      <c r="T1832" s="89"/>
      <c r="U1832" s="89"/>
      <c r="V1832" s="89"/>
      <c r="W1832" s="89"/>
      <c r="X1832" s="89"/>
      <c r="Y1832" s="89"/>
      <c r="Z1832" s="89"/>
      <c r="AA1832" s="89"/>
      <c r="AB1832" s="89"/>
      <c r="AC1832" s="89"/>
      <c r="AD1832" s="89"/>
    </row>
    <row r="1833" spans="18:30" x14ac:dyDescent="0.3">
      <c r="R1833" s="89"/>
      <c r="S1833" s="89"/>
      <c r="T1833" s="89"/>
      <c r="U1833" s="89"/>
      <c r="V1833" s="89"/>
      <c r="W1833" s="89"/>
      <c r="X1833" s="89"/>
      <c r="Y1833" s="89"/>
      <c r="Z1833" s="89"/>
      <c r="AA1833" s="89"/>
      <c r="AB1833" s="89"/>
      <c r="AC1833" s="89"/>
      <c r="AD1833" s="89"/>
    </row>
    <row r="1834" spans="18:30" x14ac:dyDescent="0.3">
      <c r="R1834" s="89"/>
      <c r="S1834" s="89"/>
      <c r="T1834" s="89"/>
      <c r="U1834" s="89"/>
      <c r="V1834" s="89"/>
      <c r="W1834" s="89"/>
      <c r="X1834" s="89"/>
      <c r="Y1834" s="89"/>
      <c r="Z1834" s="89"/>
      <c r="AA1834" s="89"/>
      <c r="AB1834" s="89"/>
      <c r="AC1834" s="89"/>
      <c r="AD1834" s="89"/>
    </row>
    <row r="1835" spans="18:30" x14ac:dyDescent="0.3">
      <c r="R1835" s="89"/>
      <c r="S1835" s="89"/>
      <c r="T1835" s="89"/>
      <c r="U1835" s="89"/>
      <c r="V1835" s="89"/>
      <c r="W1835" s="89"/>
      <c r="X1835" s="89"/>
      <c r="Y1835" s="89"/>
      <c r="Z1835" s="89"/>
      <c r="AA1835" s="89"/>
      <c r="AB1835" s="89"/>
      <c r="AC1835" s="89"/>
      <c r="AD1835" s="89"/>
    </row>
    <row r="1836" spans="18:30" x14ac:dyDescent="0.3">
      <c r="R1836" s="89"/>
      <c r="S1836" s="89"/>
      <c r="T1836" s="89"/>
      <c r="U1836" s="89"/>
      <c r="V1836" s="89"/>
      <c r="W1836" s="89"/>
      <c r="X1836" s="89"/>
      <c r="Y1836" s="89"/>
      <c r="Z1836" s="89"/>
      <c r="AA1836" s="89"/>
      <c r="AB1836" s="89"/>
      <c r="AC1836" s="89"/>
      <c r="AD1836" s="89"/>
    </row>
    <row r="1837" spans="18:30" x14ac:dyDescent="0.3">
      <c r="R1837" s="89"/>
      <c r="S1837" s="89"/>
      <c r="T1837" s="89"/>
      <c r="U1837" s="89"/>
      <c r="V1837" s="89"/>
      <c r="W1837" s="89"/>
      <c r="X1837" s="89"/>
      <c r="Y1837" s="89"/>
      <c r="Z1837" s="89"/>
      <c r="AA1837" s="89"/>
      <c r="AB1837" s="89"/>
      <c r="AC1837" s="89"/>
      <c r="AD1837" s="89"/>
    </row>
    <row r="1838" spans="18:30" x14ac:dyDescent="0.3">
      <c r="R1838" s="89"/>
      <c r="S1838" s="89"/>
      <c r="T1838" s="89"/>
      <c r="U1838" s="89"/>
      <c r="V1838" s="89"/>
      <c r="W1838" s="89"/>
      <c r="X1838" s="89"/>
      <c r="Y1838" s="89"/>
      <c r="Z1838" s="89"/>
      <c r="AA1838" s="89"/>
      <c r="AB1838" s="89"/>
      <c r="AC1838" s="89"/>
      <c r="AD1838" s="89"/>
    </row>
    <row r="1839" spans="18:30" x14ac:dyDescent="0.3">
      <c r="R1839" s="89"/>
      <c r="S1839" s="89"/>
      <c r="T1839" s="89"/>
      <c r="U1839" s="89"/>
      <c r="V1839" s="89"/>
      <c r="W1839" s="89"/>
      <c r="X1839" s="89"/>
      <c r="Y1839" s="89"/>
      <c r="Z1839" s="89"/>
      <c r="AA1839" s="89"/>
      <c r="AB1839" s="89"/>
      <c r="AC1839" s="89"/>
      <c r="AD1839" s="89"/>
    </row>
    <row r="1840" spans="18:30" x14ac:dyDescent="0.3">
      <c r="R1840" s="89"/>
      <c r="S1840" s="89"/>
      <c r="T1840" s="89"/>
      <c r="U1840" s="89"/>
      <c r="V1840" s="89"/>
      <c r="W1840" s="89"/>
      <c r="X1840" s="89"/>
      <c r="Y1840" s="89"/>
      <c r="Z1840" s="89"/>
      <c r="AA1840" s="89"/>
      <c r="AB1840" s="89"/>
      <c r="AC1840" s="89"/>
      <c r="AD1840" s="89"/>
    </row>
    <row r="1841" spans="18:30" x14ac:dyDescent="0.3">
      <c r="R1841" s="89"/>
      <c r="S1841" s="89"/>
      <c r="T1841" s="89"/>
      <c r="U1841" s="89"/>
      <c r="V1841" s="89"/>
      <c r="W1841" s="89"/>
      <c r="X1841" s="89"/>
      <c r="Y1841" s="89"/>
      <c r="Z1841" s="89"/>
      <c r="AA1841" s="89"/>
      <c r="AB1841" s="89"/>
      <c r="AC1841" s="89"/>
      <c r="AD1841" s="89"/>
    </row>
    <row r="1842" spans="18:30" x14ac:dyDescent="0.3">
      <c r="R1842" s="89"/>
      <c r="S1842" s="89"/>
      <c r="T1842" s="89"/>
      <c r="U1842" s="89"/>
      <c r="V1842" s="89"/>
      <c r="W1842" s="89"/>
      <c r="X1842" s="89"/>
      <c r="Y1842" s="89"/>
      <c r="Z1842" s="89"/>
      <c r="AA1842" s="89"/>
      <c r="AB1842" s="89"/>
      <c r="AC1842" s="89"/>
      <c r="AD1842" s="89"/>
    </row>
    <row r="1843" spans="18:30" x14ac:dyDescent="0.3">
      <c r="R1843" s="89"/>
      <c r="S1843" s="89"/>
      <c r="T1843" s="89"/>
      <c r="U1843" s="89"/>
      <c r="V1843" s="89"/>
      <c r="W1843" s="89"/>
      <c r="X1843" s="89"/>
      <c r="Y1843" s="89"/>
      <c r="Z1843" s="89"/>
      <c r="AA1843" s="89"/>
      <c r="AB1843" s="89"/>
      <c r="AC1843" s="89"/>
      <c r="AD1843" s="89"/>
    </row>
    <row r="1844" spans="18:30" x14ac:dyDescent="0.3">
      <c r="R1844" s="89"/>
      <c r="S1844" s="89"/>
      <c r="T1844" s="89"/>
      <c r="U1844" s="89"/>
      <c r="V1844" s="89"/>
      <c r="W1844" s="89"/>
      <c r="X1844" s="89"/>
      <c r="Y1844" s="89"/>
      <c r="Z1844" s="89"/>
      <c r="AA1844" s="89"/>
      <c r="AB1844" s="89"/>
      <c r="AC1844" s="89"/>
      <c r="AD1844" s="89"/>
    </row>
    <row r="1845" spans="18:30" x14ac:dyDescent="0.3">
      <c r="R1845" s="89"/>
      <c r="S1845" s="89"/>
      <c r="T1845" s="89"/>
      <c r="U1845" s="89"/>
      <c r="V1845" s="89"/>
      <c r="W1845" s="89"/>
      <c r="X1845" s="89"/>
      <c r="Y1845" s="89"/>
      <c r="Z1845" s="89"/>
      <c r="AA1845" s="89"/>
      <c r="AB1845" s="89"/>
      <c r="AC1845" s="89"/>
      <c r="AD1845" s="89"/>
    </row>
    <row r="1846" spans="18:30" x14ac:dyDescent="0.3">
      <c r="R1846" s="89"/>
      <c r="S1846" s="89"/>
      <c r="T1846" s="89"/>
      <c r="U1846" s="89"/>
      <c r="V1846" s="89"/>
      <c r="W1846" s="89"/>
      <c r="X1846" s="89"/>
      <c r="Y1846" s="89"/>
      <c r="Z1846" s="89"/>
      <c r="AA1846" s="89"/>
      <c r="AB1846" s="89"/>
      <c r="AC1846" s="89"/>
      <c r="AD1846" s="89"/>
    </row>
    <row r="1847" spans="18:30" x14ac:dyDescent="0.3">
      <c r="R1847" s="89"/>
      <c r="S1847" s="89"/>
      <c r="T1847" s="89"/>
      <c r="U1847" s="89"/>
      <c r="V1847" s="89"/>
      <c r="W1847" s="89"/>
      <c r="X1847" s="89"/>
      <c r="Y1847" s="89"/>
      <c r="Z1847" s="89"/>
      <c r="AA1847" s="89"/>
      <c r="AB1847" s="89"/>
      <c r="AC1847" s="89"/>
      <c r="AD1847" s="89"/>
    </row>
    <row r="1848" spans="18:30" x14ac:dyDescent="0.3">
      <c r="R1848" s="89"/>
      <c r="S1848" s="89"/>
      <c r="T1848" s="89"/>
      <c r="U1848" s="89"/>
      <c r="V1848" s="89"/>
      <c r="W1848" s="89"/>
      <c r="X1848" s="89"/>
      <c r="Y1848" s="89"/>
      <c r="Z1848" s="89"/>
      <c r="AA1848" s="89"/>
      <c r="AB1848" s="89"/>
      <c r="AC1848" s="89"/>
      <c r="AD1848" s="89"/>
    </row>
    <row r="1849" spans="18:30" x14ac:dyDescent="0.3">
      <c r="R1849" s="89"/>
      <c r="S1849" s="89"/>
      <c r="T1849" s="89"/>
      <c r="U1849" s="89"/>
      <c r="V1849" s="89"/>
      <c r="W1849" s="89"/>
      <c r="X1849" s="89"/>
      <c r="Y1849" s="89"/>
      <c r="Z1849" s="89"/>
      <c r="AA1849" s="89"/>
      <c r="AB1849" s="89"/>
      <c r="AC1849" s="89"/>
      <c r="AD1849" s="89"/>
    </row>
    <row r="1850" spans="18:30" x14ac:dyDescent="0.3">
      <c r="R1850" s="89"/>
      <c r="S1850" s="89"/>
      <c r="T1850" s="89"/>
      <c r="U1850" s="89"/>
      <c r="V1850" s="89"/>
      <c r="W1850" s="89"/>
      <c r="X1850" s="89"/>
      <c r="Y1850" s="89"/>
      <c r="Z1850" s="89"/>
      <c r="AA1850" s="89"/>
      <c r="AB1850" s="89"/>
      <c r="AC1850" s="89"/>
      <c r="AD1850" s="89"/>
    </row>
    <row r="1851" spans="18:30" x14ac:dyDescent="0.3">
      <c r="R1851" s="89"/>
      <c r="S1851" s="89"/>
      <c r="T1851" s="89"/>
      <c r="U1851" s="89"/>
      <c r="V1851" s="89"/>
      <c r="W1851" s="89"/>
      <c r="X1851" s="89"/>
      <c r="Y1851" s="89"/>
      <c r="Z1851" s="89"/>
      <c r="AA1851" s="89"/>
      <c r="AB1851" s="89"/>
      <c r="AC1851" s="89"/>
      <c r="AD1851" s="89"/>
    </row>
    <row r="1852" spans="18:30" x14ac:dyDescent="0.3">
      <c r="R1852" s="89"/>
      <c r="S1852" s="89"/>
      <c r="T1852" s="89"/>
      <c r="U1852" s="89"/>
      <c r="V1852" s="89"/>
      <c r="W1852" s="89"/>
      <c r="X1852" s="89"/>
      <c r="Y1852" s="89"/>
      <c r="Z1852" s="89"/>
      <c r="AA1852" s="89"/>
      <c r="AB1852" s="89"/>
      <c r="AC1852" s="89"/>
      <c r="AD1852" s="89"/>
    </row>
    <row r="1853" spans="18:30" x14ac:dyDescent="0.3">
      <c r="R1853" s="89"/>
      <c r="S1853" s="89"/>
      <c r="T1853" s="89"/>
      <c r="U1853" s="89"/>
      <c r="V1853" s="89"/>
      <c r="W1853" s="89"/>
      <c r="X1853" s="89"/>
      <c r="Y1853" s="89"/>
      <c r="Z1853" s="89"/>
      <c r="AA1853" s="89"/>
      <c r="AB1853" s="89"/>
      <c r="AC1853" s="89"/>
      <c r="AD1853" s="89"/>
    </row>
    <row r="1854" spans="18:30" x14ac:dyDescent="0.3">
      <c r="R1854" s="89"/>
      <c r="S1854" s="89"/>
      <c r="T1854" s="89"/>
      <c r="U1854" s="89"/>
      <c r="V1854" s="89"/>
      <c r="W1854" s="89"/>
      <c r="X1854" s="89"/>
      <c r="Y1854" s="89"/>
      <c r="Z1854" s="89"/>
      <c r="AA1854" s="89"/>
      <c r="AB1854" s="89"/>
      <c r="AC1854" s="89"/>
      <c r="AD1854" s="89"/>
    </row>
    <row r="1855" spans="18:30" x14ac:dyDescent="0.3">
      <c r="R1855" s="89"/>
      <c r="S1855" s="89"/>
      <c r="T1855" s="89"/>
      <c r="U1855" s="89"/>
      <c r="V1855" s="89"/>
      <c r="W1855" s="89"/>
      <c r="X1855" s="89"/>
      <c r="Y1855" s="89"/>
      <c r="Z1855" s="89"/>
      <c r="AA1855" s="89"/>
      <c r="AB1855" s="89"/>
      <c r="AC1855" s="89"/>
      <c r="AD1855" s="89"/>
    </row>
    <row r="1856" spans="18:30" x14ac:dyDescent="0.3">
      <c r="R1856" s="89"/>
      <c r="S1856" s="89"/>
      <c r="T1856" s="89"/>
      <c r="U1856" s="89"/>
      <c r="V1856" s="89"/>
      <c r="W1856" s="89"/>
      <c r="X1856" s="89"/>
      <c r="Y1856" s="89"/>
      <c r="Z1856" s="89"/>
      <c r="AA1856" s="89"/>
      <c r="AB1856" s="89"/>
      <c r="AC1856" s="89"/>
      <c r="AD1856" s="89"/>
    </row>
    <row r="1857" spans="18:30" x14ac:dyDescent="0.3">
      <c r="R1857" s="89"/>
      <c r="S1857" s="89"/>
      <c r="T1857" s="89"/>
      <c r="U1857" s="89"/>
      <c r="V1857" s="89"/>
      <c r="W1857" s="89"/>
      <c r="X1857" s="89"/>
      <c r="Y1857" s="89"/>
      <c r="Z1857" s="89"/>
      <c r="AA1857" s="89"/>
      <c r="AB1857" s="89"/>
      <c r="AC1857" s="89"/>
      <c r="AD1857" s="89"/>
    </row>
    <row r="1858" spans="18:30" x14ac:dyDescent="0.3">
      <c r="R1858" s="89"/>
      <c r="S1858" s="89"/>
      <c r="T1858" s="89"/>
      <c r="U1858" s="89"/>
      <c r="V1858" s="89"/>
      <c r="W1858" s="89"/>
      <c r="X1858" s="89"/>
      <c r="Y1858" s="89"/>
      <c r="Z1858" s="89"/>
      <c r="AA1858" s="89"/>
      <c r="AB1858" s="89"/>
      <c r="AC1858" s="89"/>
      <c r="AD1858" s="89"/>
    </row>
    <row r="1859" spans="18:30" x14ac:dyDescent="0.3">
      <c r="R1859" s="89"/>
      <c r="S1859" s="89"/>
      <c r="T1859" s="89"/>
      <c r="U1859" s="89"/>
      <c r="V1859" s="89"/>
      <c r="W1859" s="89"/>
      <c r="X1859" s="89"/>
      <c r="Y1859" s="89"/>
      <c r="Z1859" s="89"/>
      <c r="AA1859" s="89"/>
      <c r="AB1859" s="89"/>
      <c r="AC1859" s="89"/>
      <c r="AD1859" s="89"/>
    </row>
    <row r="1860" spans="18:30" x14ac:dyDescent="0.3">
      <c r="R1860" s="89"/>
      <c r="S1860" s="89"/>
      <c r="T1860" s="89"/>
      <c r="U1860" s="89"/>
      <c r="V1860" s="89"/>
      <c r="W1860" s="89"/>
      <c r="X1860" s="89"/>
      <c r="Y1860" s="89"/>
      <c r="Z1860" s="89"/>
      <c r="AA1860" s="89"/>
      <c r="AB1860" s="89"/>
      <c r="AC1860" s="89"/>
      <c r="AD1860" s="89"/>
    </row>
    <row r="1861" spans="18:30" x14ac:dyDescent="0.3">
      <c r="R1861" s="89"/>
      <c r="S1861" s="89"/>
      <c r="T1861" s="89"/>
      <c r="U1861" s="89"/>
      <c r="V1861" s="89"/>
      <c r="W1861" s="89"/>
      <c r="X1861" s="89"/>
      <c r="Y1861" s="89"/>
      <c r="Z1861" s="89"/>
      <c r="AA1861" s="89"/>
      <c r="AB1861" s="89"/>
      <c r="AC1861" s="89"/>
      <c r="AD1861" s="89"/>
    </row>
    <row r="1862" spans="18:30" x14ac:dyDescent="0.3">
      <c r="R1862" s="89"/>
      <c r="S1862" s="89"/>
      <c r="T1862" s="89"/>
      <c r="U1862" s="89"/>
      <c r="V1862" s="89"/>
      <c r="W1862" s="89"/>
      <c r="X1862" s="89"/>
      <c r="Y1862" s="89"/>
      <c r="Z1862" s="89"/>
      <c r="AA1862" s="89"/>
      <c r="AB1862" s="89"/>
      <c r="AC1862" s="89"/>
      <c r="AD1862" s="89"/>
    </row>
    <row r="1863" spans="18:30" x14ac:dyDescent="0.3">
      <c r="R1863" s="89"/>
      <c r="S1863" s="89"/>
      <c r="T1863" s="89"/>
      <c r="U1863" s="89"/>
      <c r="V1863" s="89"/>
      <c r="W1863" s="89"/>
      <c r="X1863" s="89"/>
      <c r="Y1863" s="89"/>
      <c r="Z1863" s="89"/>
      <c r="AA1863" s="89"/>
      <c r="AB1863" s="89"/>
      <c r="AC1863" s="89"/>
      <c r="AD1863" s="89"/>
    </row>
    <row r="1864" spans="18:30" x14ac:dyDescent="0.3">
      <c r="R1864" s="89"/>
      <c r="S1864" s="89"/>
      <c r="T1864" s="89"/>
      <c r="U1864" s="89"/>
      <c r="V1864" s="89"/>
      <c r="W1864" s="89"/>
      <c r="X1864" s="89"/>
      <c r="Y1864" s="89"/>
      <c r="Z1864" s="89"/>
      <c r="AA1864" s="89"/>
      <c r="AB1864" s="89"/>
      <c r="AC1864" s="89"/>
      <c r="AD1864" s="89"/>
    </row>
    <row r="1865" spans="18:30" x14ac:dyDescent="0.3">
      <c r="R1865" s="89"/>
      <c r="S1865" s="89"/>
      <c r="T1865" s="89"/>
      <c r="U1865" s="89"/>
      <c r="V1865" s="89"/>
      <c r="W1865" s="89"/>
      <c r="X1865" s="89"/>
      <c r="Y1865" s="89"/>
      <c r="Z1865" s="89"/>
      <c r="AA1865" s="89"/>
      <c r="AB1865" s="89"/>
      <c r="AC1865" s="89"/>
      <c r="AD1865" s="89"/>
    </row>
    <row r="1866" spans="18:30" x14ac:dyDescent="0.3">
      <c r="R1866" s="89"/>
      <c r="S1866" s="89"/>
      <c r="T1866" s="89"/>
      <c r="U1866" s="89"/>
      <c r="V1866" s="89"/>
      <c r="W1866" s="89"/>
      <c r="X1866" s="89"/>
      <c r="Y1866" s="89"/>
      <c r="Z1866" s="89"/>
      <c r="AA1866" s="89"/>
      <c r="AB1866" s="89"/>
      <c r="AC1866" s="89"/>
      <c r="AD1866" s="89"/>
    </row>
    <row r="1867" spans="18:30" x14ac:dyDescent="0.3">
      <c r="R1867" s="89"/>
      <c r="S1867" s="89"/>
      <c r="T1867" s="89"/>
      <c r="U1867" s="89"/>
      <c r="V1867" s="89"/>
      <c r="W1867" s="89"/>
      <c r="X1867" s="89"/>
      <c r="Y1867" s="89"/>
      <c r="Z1867" s="89"/>
      <c r="AA1867" s="89"/>
      <c r="AB1867" s="89"/>
      <c r="AC1867" s="89"/>
      <c r="AD1867" s="89"/>
    </row>
    <row r="1868" spans="18:30" x14ac:dyDescent="0.3">
      <c r="R1868" s="89"/>
      <c r="S1868" s="89"/>
      <c r="T1868" s="89"/>
      <c r="U1868" s="89"/>
      <c r="V1868" s="89"/>
      <c r="W1868" s="89"/>
      <c r="X1868" s="89"/>
      <c r="Y1868" s="89"/>
      <c r="Z1868" s="89"/>
      <c r="AA1868" s="89"/>
      <c r="AB1868" s="89"/>
      <c r="AC1868" s="89"/>
      <c r="AD1868" s="89"/>
    </row>
    <row r="1869" spans="18:30" x14ac:dyDescent="0.3">
      <c r="R1869" s="89"/>
      <c r="S1869" s="89"/>
      <c r="T1869" s="89"/>
      <c r="U1869" s="89"/>
      <c r="V1869" s="89"/>
      <c r="W1869" s="89"/>
      <c r="X1869" s="89"/>
      <c r="Y1869" s="89"/>
      <c r="Z1869" s="89"/>
      <c r="AA1869" s="89"/>
      <c r="AB1869" s="89"/>
      <c r="AC1869" s="89"/>
      <c r="AD1869" s="89"/>
    </row>
    <row r="1870" spans="18:30" x14ac:dyDescent="0.3">
      <c r="R1870" s="89"/>
      <c r="S1870" s="89"/>
      <c r="T1870" s="89"/>
      <c r="U1870" s="89"/>
      <c r="V1870" s="89"/>
      <c r="W1870" s="89"/>
      <c r="X1870" s="89"/>
      <c r="Y1870" s="89"/>
      <c r="Z1870" s="89"/>
      <c r="AA1870" s="89"/>
      <c r="AB1870" s="89"/>
      <c r="AC1870" s="89"/>
      <c r="AD1870" s="89"/>
    </row>
    <row r="1871" spans="18:30" x14ac:dyDescent="0.3">
      <c r="R1871" s="89"/>
      <c r="S1871" s="89"/>
      <c r="T1871" s="89"/>
      <c r="U1871" s="89"/>
      <c r="V1871" s="89"/>
      <c r="W1871" s="89"/>
      <c r="X1871" s="89"/>
      <c r="Y1871" s="89"/>
      <c r="Z1871" s="89"/>
      <c r="AA1871" s="89"/>
      <c r="AB1871" s="89"/>
      <c r="AC1871" s="89"/>
      <c r="AD1871" s="89"/>
    </row>
    <row r="1872" spans="18:30" x14ac:dyDescent="0.3">
      <c r="R1872" s="89"/>
      <c r="S1872" s="89"/>
      <c r="T1872" s="89"/>
      <c r="U1872" s="89"/>
      <c r="V1872" s="89"/>
      <c r="W1872" s="89"/>
      <c r="X1872" s="89"/>
      <c r="Y1872" s="89"/>
      <c r="Z1872" s="89"/>
      <c r="AA1872" s="89"/>
      <c r="AB1872" s="89"/>
      <c r="AC1872" s="89"/>
      <c r="AD1872" s="89"/>
    </row>
    <row r="1873" spans="18:30" x14ac:dyDescent="0.3">
      <c r="R1873" s="89"/>
      <c r="S1873" s="89"/>
      <c r="T1873" s="89"/>
      <c r="U1873" s="89"/>
      <c r="V1873" s="89"/>
      <c r="W1873" s="89"/>
      <c r="X1873" s="89"/>
      <c r="Y1873" s="89"/>
      <c r="Z1873" s="89"/>
      <c r="AA1873" s="89"/>
      <c r="AB1873" s="89"/>
      <c r="AC1873" s="89"/>
      <c r="AD1873" s="89"/>
    </row>
    <row r="1874" spans="18:30" x14ac:dyDescent="0.3">
      <c r="R1874" s="89"/>
      <c r="S1874" s="89"/>
      <c r="T1874" s="89"/>
      <c r="U1874" s="89"/>
      <c r="V1874" s="89"/>
      <c r="W1874" s="89"/>
      <c r="X1874" s="89"/>
      <c r="Y1874" s="89"/>
      <c r="Z1874" s="89"/>
      <c r="AA1874" s="89"/>
      <c r="AB1874" s="89"/>
      <c r="AC1874" s="89"/>
      <c r="AD1874" s="89"/>
    </row>
    <row r="1875" spans="18:30" x14ac:dyDescent="0.3">
      <c r="R1875" s="89"/>
      <c r="S1875" s="89"/>
      <c r="T1875" s="89"/>
      <c r="U1875" s="89"/>
      <c r="V1875" s="89"/>
      <c r="W1875" s="89"/>
      <c r="X1875" s="89"/>
      <c r="Y1875" s="89"/>
      <c r="Z1875" s="89"/>
      <c r="AA1875" s="89"/>
      <c r="AB1875" s="89"/>
      <c r="AC1875" s="89"/>
      <c r="AD1875" s="89"/>
    </row>
    <row r="1876" spans="18:30" x14ac:dyDescent="0.3">
      <c r="R1876" s="89"/>
      <c r="S1876" s="89"/>
      <c r="T1876" s="89"/>
      <c r="U1876" s="89"/>
      <c r="V1876" s="89"/>
      <c r="W1876" s="89"/>
      <c r="X1876" s="89"/>
      <c r="Y1876" s="89"/>
      <c r="Z1876" s="89"/>
      <c r="AA1876" s="89"/>
      <c r="AB1876" s="89"/>
      <c r="AC1876" s="89"/>
      <c r="AD1876" s="89"/>
    </row>
    <row r="1877" spans="18:30" x14ac:dyDescent="0.3">
      <c r="R1877" s="89"/>
      <c r="S1877" s="89"/>
      <c r="T1877" s="89"/>
      <c r="U1877" s="89"/>
      <c r="V1877" s="89"/>
      <c r="W1877" s="89"/>
      <c r="X1877" s="89"/>
      <c r="Y1877" s="89"/>
      <c r="Z1877" s="89"/>
      <c r="AA1877" s="89"/>
      <c r="AB1877" s="89"/>
      <c r="AC1877" s="89"/>
      <c r="AD1877" s="89"/>
    </row>
    <row r="1878" spans="18:30" x14ac:dyDescent="0.3">
      <c r="R1878" s="89"/>
      <c r="S1878" s="89"/>
      <c r="T1878" s="89"/>
      <c r="U1878" s="89"/>
      <c r="V1878" s="89"/>
      <c r="W1878" s="89"/>
      <c r="X1878" s="89"/>
      <c r="Y1878" s="89"/>
      <c r="Z1878" s="89"/>
      <c r="AA1878" s="89"/>
      <c r="AB1878" s="89"/>
      <c r="AC1878" s="89"/>
      <c r="AD1878" s="89"/>
    </row>
    <row r="1879" spans="18:30" x14ac:dyDescent="0.3">
      <c r="R1879" s="89"/>
      <c r="S1879" s="89"/>
      <c r="T1879" s="89"/>
      <c r="U1879" s="89"/>
      <c r="V1879" s="89"/>
      <c r="W1879" s="89"/>
      <c r="X1879" s="89"/>
      <c r="Y1879" s="89"/>
      <c r="Z1879" s="89"/>
      <c r="AA1879" s="89"/>
      <c r="AB1879" s="89"/>
      <c r="AC1879" s="89"/>
      <c r="AD1879" s="89"/>
    </row>
    <row r="1880" spans="18:30" x14ac:dyDescent="0.3">
      <c r="R1880" s="89"/>
      <c r="S1880" s="89"/>
      <c r="T1880" s="89"/>
      <c r="U1880" s="89"/>
      <c r="V1880" s="89"/>
      <c r="W1880" s="89"/>
      <c r="X1880" s="89"/>
      <c r="Y1880" s="89"/>
      <c r="Z1880" s="89"/>
      <c r="AA1880" s="89"/>
      <c r="AB1880" s="89"/>
      <c r="AC1880" s="89"/>
      <c r="AD1880" s="89"/>
    </row>
    <row r="1881" spans="18:30" x14ac:dyDescent="0.3">
      <c r="R1881" s="89"/>
      <c r="S1881" s="89"/>
      <c r="T1881" s="89"/>
      <c r="U1881" s="89"/>
      <c r="V1881" s="89"/>
      <c r="W1881" s="89"/>
      <c r="X1881" s="89"/>
      <c r="Y1881" s="89"/>
      <c r="Z1881" s="89"/>
      <c r="AA1881" s="89"/>
      <c r="AB1881" s="89"/>
      <c r="AC1881" s="89"/>
      <c r="AD1881" s="89"/>
    </row>
    <row r="1882" spans="18:30" x14ac:dyDescent="0.3">
      <c r="R1882" s="89"/>
      <c r="S1882" s="89"/>
      <c r="T1882" s="89"/>
      <c r="U1882" s="89"/>
      <c r="V1882" s="89"/>
      <c r="W1882" s="89"/>
      <c r="X1882" s="89"/>
      <c r="Y1882" s="89"/>
      <c r="Z1882" s="89"/>
      <c r="AA1882" s="89"/>
      <c r="AB1882" s="89"/>
      <c r="AC1882" s="89"/>
      <c r="AD1882" s="89"/>
    </row>
    <row r="1883" spans="18:30" x14ac:dyDescent="0.3">
      <c r="R1883" s="89"/>
      <c r="S1883" s="89"/>
      <c r="T1883" s="89"/>
      <c r="U1883" s="89"/>
      <c r="V1883" s="89"/>
      <c r="W1883" s="89"/>
      <c r="X1883" s="89"/>
      <c r="Y1883" s="89"/>
      <c r="Z1883" s="89"/>
      <c r="AA1883" s="89"/>
      <c r="AB1883" s="89"/>
      <c r="AC1883" s="89"/>
      <c r="AD1883" s="89"/>
    </row>
    <row r="1884" spans="18:30" x14ac:dyDescent="0.3">
      <c r="R1884" s="89"/>
      <c r="S1884" s="89"/>
      <c r="T1884" s="89"/>
      <c r="U1884" s="89"/>
      <c r="V1884" s="89"/>
      <c r="W1884" s="89"/>
      <c r="X1884" s="89"/>
      <c r="Y1884" s="89"/>
      <c r="Z1884" s="89"/>
      <c r="AA1884" s="89"/>
      <c r="AB1884" s="89"/>
      <c r="AC1884" s="89"/>
      <c r="AD1884" s="89"/>
    </row>
    <row r="1885" spans="18:30" x14ac:dyDescent="0.3">
      <c r="R1885" s="89"/>
      <c r="S1885" s="89"/>
      <c r="T1885" s="89"/>
      <c r="U1885" s="89"/>
      <c r="V1885" s="89"/>
      <c r="W1885" s="89"/>
      <c r="X1885" s="89"/>
      <c r="Y1885" s="89"/>
      <c r="Z1885" s="89"/>
      <c r="AA1885" s="89"/>
      <c r="AB1885" s="89"/>
      <c r="AC1885" s="89"/>
      <c r="AD1885" s="89"/>
    </row>
    <row r="1886" spans="18:30" x14ac:dyDescent="0.3">
      <c r="R1886" s="89"/>
      <c r="S1886" s="89"/>
      <c r="T1886" s="89"/>
      <c r="U1886" s="89"/>
      <c r="V1886" s="89"/>
      <c r="W1886" s="89"/>
      <c r="X1886" s="89"/>
      <c r="Y1886" s="89"/>
      <c r="Z1886" s="89"/>
      <c r="AA1886" s="89"/>
      <c r="AB1886" s="89"/>
      <c r="AC1886" s="89"/>
      <c r="AD1886" s="89"/>
    </row>
    <row r="1887" spans="18:30" x14ac:dyDescent="0.3">
      <c r="R1887" s="89"/>
      <c r="S1887" s="89"/>
      <c r="T1887" s="89"/>
      <c r="U1887" s="89"/>
      <c r="V1887" s="89"/>
      <c r="W1887" s="89"/>
      <c r="X1887" s="89"/>
      <c r="Y1887" s="89"/>
      <c r="Z1887" s="89"/>
      <c r="AA1887" s="89"/>
      <c r="AB1887" s="89"/>
      <c r="AC1887" s="89"/>
      <c r="AD1887" s="89"/>
    </row>
    <row r="1888" spans="18:30" x14ac:dyDescent="0.3">
      <c r="R1888" s="89"/>
      <c r="S1888" s="89"/>
      <c r="T1888" s="89"/>
      <c r="U1888" s="89"/>
      <c r="V1888" s="89"/>
      <c r="W1888" s="89"/>
      <c r="X1888" s="89"/>
      <c r="Y1888" s="89"/>
      <c r="Z1888" s="89"/>
      <c r="AA1888" s="89"/>
      <c r="AB1888" s="89"/>
      <c r="AC1888" s="89"/>
      <c r="AD1888" s="89"/>
    </row>
    <row r="1889" spans="18:30" x14ac:dyDescent="0.3">
      <c r="R1889" s="89"/>
      <c r="S1889" s="89"/>
      <c r="T1889" s="89"/>
      <c r="U1889" s="89"/>
      <c r="V1889" s="89"/>
      <c r="W1889" s="89"/>
      <c r="X1889" s="89"/>
      <c r="Y1889" s="89"/>
      <c r="Z1889" s="89"/>
      <c r="AA1889" s="89"/>
      <c r="AB1889" s="89"/>
      <c r="AC1889" s="89"/>
      <c r="AD1889" s="89"/>
    </row>
    <row r="1890" spans="18:30" x14ac:dyDescent="0.3">
      <c r="R1890" s="89"/>
      <c r="S1890" s="89"/>
      <c r="T1890" s="89"/>
      <c r="U1890" s="89"/>
      <c r="V1890" s="89"/>
      <c r="W1890" s="89"/>
      <c r="X1890" s="89"/>
      <c r="Y1890" s="89"/>
      <c r="Z1890" s="89"/>
      <c r="AA1890" s="89"/>
      <c r="AB1890" s="89"/>
      <c r="AC1890" s="89"/>
      <c r="AD1890" s="89"/>
    </row>
    <row r="1891" spans="18:30" x14ac:dyDescent="0.3">
      <c r="R1891" s="89"/>
      <c r="S1891" s="89"/>
      <c r="T1891" s="89"/>
      <c r="U1891" s="89"/>
      <c r="V1891" s="89"/>
      <c r="W1891" s="89"/>
      <c r="X1891" s="89"/>
      <c r="Y1891" s="89"/>
      <c r="Z1891" s="89"/>
      <c r="AA1891" s="89"/>
      <c r="AB1891" s="89"/>
      <c r="AC1891" s="89"/>
      <c r="AD1891" s="89"/>
    </row>
    <row r="1892" spans="18:30" x14ac:dyDescent="0.3">
      <c r="R1892" s="89"/>
      <c r="S1892" s="89"/>
      <c r="T1892" s="89"/>
      <c r="U1892" s="89"/>
      <c r="V1892" s="89"/>
      <c r="W1892" s="89"/>
      <c r="X1892" s="89"/>
      <c r="Y1892" s="89"/>
      <c r="Z1892" s="89"/>
      <c r="AA1892" s="89"/>
      <c r="AB1892" s="89"/>
      <c r="AC1892" s="89"/>
      <c r="AD1892" s="89"/>
    </row>
    <row r="1893" spans="18:30" x14ac:dyDescent="0.3">
      <c r="R1893" s="89"/>
      <c r="S1893" s="89"/>
      <c r="T1893" s="89"/>
      <c r="U1893" s="89"/>
      <c r="V1893" s="89"/>
      <c r="W1893" s="89"/>
      <c r="X1893" s="89"/>
      <c r="Y1893" s="89"/>
      <c r="Z1893" s="89"/>
      <c r="AA1893" s="89"/>
      <c r="AB1893" s="89"/>
      <c r="AC1893" s="89"/>
      <c r="AD1893" s="89"/>
    </row>
    <row r="1894" spans="18:30" x14ac:dyDescent="0.3">
      <c r="R1894" s="89"/>
      <c r="S1894" s="89"/>
      <c r="T1894" s="89"/>
      <c r="U1894" s="89"/>
      <c r="V1894" s="89"/>
      <c r="W1894" s="89"/>
      <c r="X1894" s="89"/>
      <c r="Y1894" s="89"/>
      <c r="Z1894" s="89"/>
      <c r="AA1894" s="89"/>
      <c r="AB1894" s="89"/>
      <c r="AC1894" s="89"/>
      <c r="AD1894" s="89"/>
    </row>
    <row r="1895" spans="18:30" x14ac:dyDescent="0.3">
      <c r="R1895" s="89"/>
      <c r="S1895" s="89"/>
      <c r="T1895" s="89"/>
      <c r="U1895" s="89"/>
      <c r="V1895" s="89"/>
      <c r="W1895" s="89"/>
      <c r="X1895" s="89"/>
      <c r="Y1895" s="89"/>
      <c r="Z1895" s="89"/>
      <c r="AA1895" s="89"/>
      <c r="AB1895" s="89"/>
      <c r="AC1895" s="89"/>
      <c r="AD1895" s="89"/>
    </row>
    <row r="1896" spans="18:30" x14ac:dyDescent="0.3">
      <c r="R1896" s="89"/>
      <c r="S1896" s="89"/>
      <c r="T1896" s="89"/>
      <c r="U1896" s="89"/>
      <c r="V1896" s="89"/>
      <c r="W1896" s="89"/>
      <c r="X1896" s="89"/>
      <c r="Y1896" s="89"/>
      <c r="Z1896" s="89"/>
      <c r="AA1896" s="89"/>
      <c r="AB1896" s="89"/>
      <c r="AC1896" s="89"/>
      <c r="AD1896" s="89"/>
    </row>
    <row r="1897" spans="18:30" x14ac:dyDescent="0.3">
      <c r="R1897" s="89"/>
      <c r="S1897" s="89"/>
      <c r="T1897" s="89"/>
      <c r="U1897" s="89"/>
      <c r="V1897" s="89"/>
      <c r="W1897" s="89"/>
      <c r="X1897" s="89"/>
      <c r="Y1897" s="89"/>
      <c r="Z1897" s="89"/>
      <c r="AA1897" s="89"/>
      <c r="AB1897" s="89"/>
      <c r="AC1897" s="89"/>
      <c r="AD1897" s="89"/>
    </row>
    <row r="1898" spans="18:30" x14ac:dyDescent="0.3">
      <c r="R1898" s="89"/>
      <c r="S1898" s="89"/>
      <c r="T1898" s="89"/>
      <c r="U1898" s="89"/>
      <c r="V1898" s="89"/>
      <c r="W1898" s="89"/>
      <c r="X1898" s="89"/>
      <c r="Y1898" s="89"/>
      <c r="Z1898" s="89"/>
      <c r="AA1898" s="89"/>
      <c r="AB1898" s="89"/>
      <c r="AC1898" s="89"/>
      <c r="AD1898" s="89"/>
    </row>
    <row r="1899" spans="18:30" x14ac:dyDescent="0.3">
      <c r="R1899" s="89"/>
      <c r="S1899" s="89"/>
      <c r="T1899" s="89"/>
      <c r="U1899" s="89"/>
      <c r="V1899" s="89"/>
      <c r="W1899" s="89"/>
      <c r="X1899" s="89"/>
      <c r="Y1899" s="89"/>
      <c r="Z1899" s="89"/>
      <c r="AA1899" s="89"/>
      <c r="AB1899" s="89"/>
      <c r="AC1899" s="89"/>
      <c r="AD1899" s="89"/>
    </row>
    <row r="1900" spans="18:30" x14ac:dyDescent="0.3">
      <c r="R1900" s="89"/>
      <c r="S1900" s="89"/>
      <c r="T1900" s="89"/>
      <c r="U1900" s="89"/>
      <c r="V1900" s="89"/>
      <c r="W1900" s="89"/>
      <c r="X1900" s="89"/>
      <c r="Y1900" s="89"/>
      <c r="Z1900" s="89"/>
      <c r="AA1900" s="89"/>
      <c r="AB1900" s="89"/>
      <c r="AC1900" s="89"/>
      <c r="AD1900" s="89"/>
    </row>
    <row r="1901" spans="18:30" x14ac:dyDescent="0.3">
      <c r="R1901" s="89"/>
      <c r="S1901" s="89"/>
      <c r="T1901" s="89"/>
      <c r="U1901" s="89"/>
      <c r="V1901" s="89"/>
      <c r="W1901" s="89"/>
      <c r="X1901" s="89"/>
      <c r="Y1901" s="89"/>
      <c r="Z1901" s="89"/>
      <c r="AA1901" s="89"/>
      <c r="AB1901" s="89"/>
      <c r="AC1901" s="89"/>
      <c r="AD1901" s="89"/>
    </row>
    <row r="1902" spans="18:30" x14ac:dyDescent="0.3">
      <c r="R1902" s="89"/>
      <c r="S1902" s="89"/>
      <c r="T1902" s="89"/>
      <c r="U1902" s="89"/>
      <c r="V1902" s="89"/>
      <c r="W1902" s="89"/>
      <c r="X1902" s="89"/>
      <c r="Y1902" s="89"/>
      <c r="Z1902" s="89"/>
      <c r="AA1902" s="89"/>
      <c r="AB1902" s="89"/>
      <c r="AC1902" s="89"/>
      <c r="AD1902" s="89"/>
    </row>
    <row r="1903" spans="18:30" x14ac:dyDescent="0.3">
      <c r="R1903" s="89"/>
      <c r="S1903" s="89"/>
      <c r="T1903" s="89"/>
      <c r="U1903" s="89"/>
      <c r="V1903" s="89"/>
      <c r="W1903" s="89"/>
      <c r="X1903" s="89"/>
      <c r="Y1903" s="89"/>
      <c r="Z1903" s="89"/>
      <c r="AA1903" s="89"/>
      <c r="AB1903" s="89"/>
      <c r="AC1903" s="89"/>
      <c r="AD1903" s="89"/>
    </row>
    <row r="1904" spans="18:30" x14ac:dyDescent="0.3">
      <c r="R1904" s="89"/>
      <c r="S1904" s="89"/>
      <c r="T1904" s="89"/>
      <c r="U1904" s="89"/>
      <c r="V1904" s="89"/>
      <c r="W1904" s="89"/>
      <c r="X1904" s="89"/>
      <c r="Y1904" s="89"/>
      <c r="Z1904" s="89"/>
      <c r="AA1904" s="89"/>
      <c r="AB1904" s="89"/>
      <c r="AC1904" s="89"/>
      <c r="AD1904" s="89"/>
    </row>
    <row r="1905" spans="18:30" x14ac:dyDescent="0.3">
      <c r="R1905" s="89"/>
      <c r="S1905" s="89"/>
      <c r="T1905" s="89"/>
      <c r="U1905" s="89"/>
      <c r="V1905" s="89"/>
      <c r="W1905" s="89"/>
      <c r="X1905" s="89"/>
      <c r="Y1905" s="89"/>
      <c r="Z1905" s="89"/>
      <c r="AA1905" s="89"/>
      <c r="AB1905" s="89"/>
      <c r="AC1905" s="89"/>
      <c r="AD1905" s="89"/>
    </row>
    <row r="1906" spans="18:30" x14ac:dyDescent="0.3">
      <c r="R1906" s="89"/>
      <c r="S1906" s="89"/>
      <c r="T1906" s="89"/>
      <c r="U1906" s="89"/>
      <c r="V1906" s="89"/>
      <c r="W1906" s="89"/>
      <c r="X1906" s="89"/>
      <c r="Y1906" s="89"/>
      <c r="Z1906" s="89"/>
      <c r="AA1906" s="89"/>
      <c r="AB1906" s="89"/>
      <c r="AC1906" s="89"/>
      <c r="AD1906" s="89"/>
    </row>
    <row r="1907" spans="18:30" x14ac:dyDescent="0.3">
      <c r="R1907" s="89"/>
      <c r="S1907" s="89"/>
      <c r="T1907" s="89"/>
      <c r="U1907" s="89"/>
      <c r="V1907" s="89"/>
      <c r="W1907" s="89"/>
      <c r="X1907" s="89"/>
      <c r="Y1907" s="89"/>
      <c r="Z1907" s="89"/>
      <c r="AA1907" s="89"/>
      <c r="AB1907" s="89"/>
      <c r="AC1907" s="89"/>
      <c r="AD1907" s="89"/>
    </row>
    <row r="1908" spans="18:30" x14ac:dyDescent="0.3">
      <c r="R1908" s="89"/>
      <c r="S1908" s="89"/>
      <c r="T1908" s="89"/>
      <c r="U1908" s="89"/>
      <c r="V1908" s="89"/>
      <c r="W1908" s="89"/>
      <c r="X1908" s="89"/>
      <c r="Y1908" s="89"/>
      <c r="Z1908" s="89"/>
      <c r="AA1908" s="89"/>
      <c r="AB1908" s="89"/>
      <c r="AC1908" s="89"/>
      <c r="AD1908" s="89"/>
    </row>
    <row r="1909" spans="18:30" x14ac:dyDescent="0.3">
      <c r="R1909" s="89"/>
      <c r="S1909" s="89"/>
      <c r="T1909" s="89"/>
      <c r="U1909" s="89"/>
      <c r="V1909" s="89"/>
      <c r="W1909" s="89"/>
      <c r="X1909" s="89"/>
      <c r="Y1909" s="89"/>
      <c r="Z1909" s="89"/>
      <c r="AA1909" s="89"/>
      <c r="AB1909" s="89"/>
      <c r="AC1909" s="89"/>
      <c r="AD1909" s="89"/>
    </row>
    <row r="1910" spans="18:30" x14ac:dyDescent="0.3">
      <c r="R1910" s="89"/>
      <c r="S1910" s="89"/>
      <c r="T1910" s="89"/>
      <c r="U1910" s="89"/>
      <c r="V1910" s="89"/>
      <c r="W1910" s="89"/>
      <c r="X1910" s="89"/>
      <c r="Y1910" s="89"/>
      <c r="Z1910" s="89"/>
      <c r="AA1910" s="89"/>
      <c r="AB1910" s="89"/>
      <c r="AC1910" s="89"/>
      <c r="AD1910" s="89"/>
    </row>
    <row r="1911" spans="18:30" x14ac:dyDescent="0.3">
      <c r="R1911" s="89"/>
      <c r="S1911" s="89"/>
      <c r="T1911" s="89"/>
      <c r="U1911" s="89"/>
      <c r="V1911" s="89"/>
      <c r="W1911" s="89"/>
      <c r="X1911" s="89"/>
      <c r="Y1911" s="89"/>
      <c r="Z1911" s="89"/>
      <c r="AA1911" s="89"/>
      <c r="AB1911" s="89"/>
      <c r="AC1911" s="89"/>
      <c r="AD1911" s="89"/>
    </row>
    <row r="1912" spans="18:30" x14ac:dyDescent="0.3">
      <c r="R1912" s="89"/>
      <c r="S1912" s="89"/>
      <c r="T1912" s="89"/>
      <c r="U1912" s="89"/>
      <c r="V1912" s="89"/>
      <c r="W1912" s="89"/>
      <c r="X1912" s="89"/>
      <c r="Y1912" s="89"/>
      <c r="Z1912" s="89"/>
      <c r="AA1912" s="89"/>
      <c r="AB1912" s="89"/>
      <c r="AC1912" s="89"/>
      <c r="AD1912" s="89"/>
    </row>
    <row r="1913" spans="18:30" x14ac:dyDescent="0.3">
      <c r="R1913" s="89"/>
      <c r="S1913" s="89"/>
      <c r="T1913" s="89"/>
      <c r="U1913" s="89"/>
      <c r="V1913" s="89"/>
      <c r="W1913" s="89"/>
      <c r="X1913" s="89"/>
      <c r="Y1913" s="89"/>
      <c r="Z1913" s="89"/>
      <c r="AA1913" s="89"/>
      <c r="AB1913" s="89"/>
      <c r="AC1913" s="89"/>
      <c r="AD1913" s="89"/>
    </row>
    <row r="1914" spans="18:30" x14ac:dyDescent="0.3">
      <c r="R1914" s="89"/>
      <c r="S1914" s="89"/>
      <c r="T1914" s="89"/>
      <c r="U1914" s="89"/>
      <c r="V1914" s="89"/>
      <c r="W1914" s="89"/>
      <c r="X1914" s="89"/>
      <c r="Y1914" s="89"/>
      <c r="Z1914" s="89"/>
      <c r="AA1914" s="89"/>
      <c r="AB1914" s="89"/>
      <c r="AC1914" s="89"/>
      <c r="AD1914" s="89"/>
    </row>
    <row r="1915" spans="18:30" x14ac:dyDescent="0.3">
      <c r="R1915" s="89"/>
      <c r="S1915" s="89"/>
      <c r="T1915" s="89"/>
      <c r="U1915" s="89"/>
      <c r="V1915" s="89"/>
      <c r="W1915" s="89"/>
      <c r="X1915" s="89"/>
      <c r="Y1915" s="89"/>
      <c r="Z1915" s="89"/>
      <c r="AA1915" s="89"/>
      <c r="AB1915" s="89"/>
      <c r="AC1915" s="89"/>
      <c r="AD1915" s="89"/>
    </row>
    <row r="1916" spans="18:30" x14ac:dyDescent="0.3">
      <c r="R1916" s="89"/>
      <c r="S1916" s="89"/>
      <c r="T1916" s="89"/>
      <c r="U1916" s="89"/>
      <c r="V1916" s="89"/>
      <c r="W1916" s="89"/>
      <c r="X1916" s="89"/>
      <c r="Y1916" s="89"/>
      <c r="Z1916" s="89"/>
      <c r="AA1916" s="89"/>
      <c r="AB1916" s="89"/>
      <c r="AC1916" s="89"/>
      <c r="AD1916" s="89"/>
    </row>
    <row r="1917" spans="18:30" x14ac:dyDescent="0.3">
      <c r="R1917" s="89"/>
      <c r="S1917" s="89"/>
      <c r="T1917" s="89"/>
      <c r="U1917" s="89"/>
      <c r="V1917" s="89"/>
      <c r="W1917" s="89"/>
      <c r="X1917" s="89"/>
      <c r="Y1917" s="89"/>
      <c r="Z1917" s="89"/>
      <c r="AA1917" s="89"/>
      <c r="AB1917" s="89"/>
      <c r="AC1917" s="89"/>
      <c r="AD1917" s="89"/>
    </row>
    <row r="1918" spans="18:30" x14ac:dyDescent="0.3">
      <c r="R1918" s="89"/>
      <c r="S1918" s="89"/>
      <c r="T1918" s="89"/>
      <c r="U1918" s="89"/>
      <c r="V1918" s="89"/>
      <c r="W1918" s="89"/>
      <c r="X1918" s="89"/>
      <c r="Y1918" s="89"/>
      <c r="Z1918" s="89"/>
      <c r="AA1918" s="89"/>
      <c r="AB1918" s="89"/>
      <c r="AC1918" s="89"/>
      <c r="AD1918" s="89"/>
    </row>
    <row r="1919" spans="18:30" x14ac:dyDescent="0.3">
      <c r="R1919" s="89"/>
      <c r="S1919" s="89"/>
      <c r="T1919" s="89"/>
      <c r="U1919" s="89"/>
      <c r="V1919" s="89"/>
      <c r="W1919" s="89"/>
      <c r="X1919" s="89"/>
      <c r="Y1919" s="89"/>
      <c r="Z1919" s="89"/>
      <c r="AA1919" s="89"/>
      <c r="AB1919" s="89"/>
      <c r="AC1919" s="89"/>
      <c r="AD1919" s="89"/>
    </row>
    <row r="1920" spans="18:30" x14ac:dyDescent="0.3">
      <c r="R1920" s="89"/>
      <c r="S1920" s="89"/>
      <c r="T1920" s="89"/>
      <c r="U1920" s="89"/>
      <c r="V1920" s="89"/>
      <c r="W1920" s="89"/>
      <c r="X1920" s="89"/>
      <c r="Y1920" s="89"/>
      <c r="Z1920" s="89"/>
      <c r="AA1920" s="89"/>
      <c r="AB1920" s="89"/>
      <c r="AC1920" s="89"/>
      <c r="AD1920" s="89"/>
    </row>
    <row r="1921" spans="18:30" x14ac:dyDescent="0.3">
      <c r="R1921" s="89"/>
      <c r="S1921" s="89"/>
      <c r="T1921" s="89"/>
      <c r="U1921" s="89"/>
      <c r="V1921" s="89"/>
      <c r="W1921" s="89"/>
      <c r="X1921" s="89"/>
      <c r="Y1921" s="89"/>
      <c r="Z1921" s="89"/>
      <c r="AA1921" s="89"/>
      <c r="AB1921" s="89"/>
      <c r="AC1921" s="89"/>
      <c r="AD1921" s="89"/>
    </row>
    <row r="1922" spans="18:30" x14ac:dyDescent="0.3">
      <c r="R1922" s="89"/>
      <c r="S1922" s="89"/>
      <c r="T1922" s="89"/>
      <c r="U1922" s="89"/>
      <c r="V1922" s="89"/>
      <c r="W1922" s="89"/>
      <c r="X1922" s="89"/>
      <c r="Y1922" s="89"/>
      <c r="Z1922" s="89"/>
      <c r="AA1922" s="89"/>
      <c r="AB1922" s="89"/>
      <c r="AC1922" s="89"/>
      <c r="AD1922" s="89"/>
    </row>
    <row r="1923" spans="18:30" x14ac:dyDescent="0.3">
      <c r="R1923" s="89"/>
      <c r="S1923" s="89"/>
      <c r="T1923" s="89"/>
      <c r="U1923" s="89"/>
      <c r="V1923" s="89"/>
      <c r="W1923" s="89"/>
      <c r="X1923" s="89"/>
      <c r="Y1923" s="89"/>
      <c r="Z1923" s="89"/>
      <c r="AA1923" s="89"/>
      <c r="AB1923" s="89"/>
      <c r="AC1923" s="89"/>
      <c r="AD1923" s="89"/>
    </row>
    <row r="1924" spans="18:30" x14ac:dyDescent="0.3">
      <c r="R1924" s="89"/>
      <c r="S1924" s="89"/>
      <c r="T1924" s="89"/>
      <c r="U1924" s="89"/>
      <c r="V1924" s="89"/>
      <c r="W1924" s="89"/>
      <c r="X1924" s="89"/>
      <c r="Y1924" s="89"/>
      <c r="Z1924" s="89"/>
      <c r="AA1924" s="89"/>
      <c r="AB1924" s="89"/>
      <c r="AC1924" s="89"/>
      <c r="AD1924" s="89"/>
    </row>
    <row r="1925" spans="18:30" x14ac:dyDescent="0.3">
      <c r="R1925" s="89"/>
      <c r="S1925" s="89"/>
      <c r="T1925" s="89"/>
      <c r="U1925" s="89"/>
      <c r="V1925" s="89"/>
      <c r="W1925" s="89"/>
      <c r="X1925" s="89"/>
      <c r="Y1925" s="89"/>
      <c r="Z1925" s="89"/>
      <c r="AA1925" s="89"/>
      <c r="AB1925" s="89"/>
      <c r="AC1925" s="89"/>
      <c r="AD1925" s="89"/>
    </row>
    <row r="1926" spans="18:30" x14ac:dyDescent="0.3">
      <c r="R1926" s="89"/>
      <c r="S1926" s="89"/>
      <c r="T1926" s="89"/>
      <c r="U1926" s="89"/>
      <c r="V1926" s="89"/>
      <c r="W1926" s="89"/>
      <c r="X1926" s="89"/>
      <c r="Y1926" s="89"/>
      <c r="Z1926" s="89"/>
      <c r="AA1926" s="89"/>
      <c r="AB1926" s="89"/>
      <c r="AC1926" s="89"/>
      <c r="AD1926" s="89"/>
    </row>
    <row r="1927" spans="18:30" x14ac:dyDescent="0.3">
      <c r="R1927" s="89"/>
      <c r="S1927" s="89"/>
      <c r="T1927" s="89"/>
      <c r="U1927" s="89"/>
      <c r="V1927" s="89"/>
      <c r="W1927" s="89"/>
      <c r="X1927" s="89"/>
      <c r="Y1927" s="89"/>
      <c r="Z1927" s="89"/>
      <c r="AA1927" s="89"/>
      <c r="AB1927" s="89"/>
      <c r="AC1927" s="89"/>
      <c r="AD1927" s="89"/>
    </row>
    <row r="1928" spans="18:30" x14ac:dyDescent="0.3">
      <c r="R1928" s="89"/>
      <c r="S1928" s="89"/>
      <c r="T1928" s="89"/>
      <c r="U1928" s="89"/>
      <c r="V1928" s="89"/>
      <c r="W1928" s="89"/>
      <c r="X1928" s="89"/>
      <c r="Y1928" s="89"/>
      <c r="Z1928" s="89"/>
      <c r="AA1928" s="89"/>
      <c r="AB1928" s="89"/>
      <c r="AC1928" s="89"/>
      <c r="AD1928" s="89"/>
    </row>
    <row r="1929" spans="18:30" x14ac:dyDescent="0.3">
      <c r="R1929" s="89"/>
      <c r="S1929" s="89"/>
      <c r="T1929" s="89"/>
      <c r="U1929" s="89"/>
      <c r="V1929" s="89"/>
      <c r="W1929" s="89"/>
      <c r="X1929" s="89"/>
      <c r="Y1929" s="89"/>
      <c r="Z1929" s="89"/>
      <c r="AA1929" s="89"/>
      <c r="AB1929" s="89"/>
      <c r="AC1929" s="89"/>
      <c r="AD1929" s="89"/>
    </row>
    <row r="1930" spans="18:30" x14ac:dyDescent="0.3">
      <c r="R1930" s="89"/>
      <c r="S1930" s="89"/>
      <c r="T1930" s="89"/>
      <c r="U1930" s="89"/>
      <c r="V1930" s="89"/>
      <c r="W1930" s="89"/>
      <c r="X1930" s="89"/>
      <c r="Y1930" s="89"/>
      <c r="Z1930" s="89"/>
      <c r="AA1930" s="89"/>
      <c r="AB1930" s="89"/>
      <c r="AC1930" s="89"/>
      <c r="AD1930" s="89"/>
    </row>
    <row r="1931" spans="18:30" x14ac:dyDescent="0.3">
      <c r="R1931" s="89"/>
      <c r="S1931" s="89"/>
      <c r="T1931" s="89"/>
      <c r="U1931" s="89"/>
      <c r="V1931" s="89"/>
      <c r="W1931" s="89"/>
      <c r="X1931" s="89"/>
      <c r="Y1931" s="89"/>
      <c r="Z1931" s="89"/>
      <c r="AA1931" s="89"/>
      <c r="AB1931" s="89"/>
      <c r="AC1931" s="89"/>
      <c r="AD1931" s="89"/>
    </row>
    <row r="1932" spans="18:30" x14ac:dyDescent="0.3">
      <c r="R1932" s="89"/>
      <c r="S1932" s="89"/>
      <c r="T1932" s="89"/>
      <c r="U1932" s="89"/>
      <c r="V1932" s="89"/>
      <c r="W1932" s="89"/>
      <c r="X1932" s="89"/>
      <c r="Y1932" s="89"/>
      <c r="Z1932" s="89"/>
      <c r="AA1932" s="89"/>
      <c r="AB1932" s="89"/>
      <c r="AC1932" s="89"/>
      <c r="AD1932" s="89"/>
    </row>
    <row r="1933" spans="18:30" x14ac:dyDescent="0.3">
      <c r="R1933" s="89"/>
      <c r="S1933" s="89"/>
      <c r="T1933" s="89"/>
      <c r="U1933" s="89"/>
      <c r="V1933" s="89"/>
      <c r="W1933" s="89"/>
      <c r="X1933" s="89"/>
      <c r="Y1933" s="89"/>
      <c r="Z1933" s="89"/>
      <c r="AA1933" s="89"/>
      <c r="AB1933" s="89"/>
      <c r="AC1933" s="89"/>
      <c r="AD1933" s="89"/>
    </row>
    <row r="1934" spans="18:30" x14ac:dyDescent="0.3">
      <c r="R1934" s="89"/>
      <c r="S1934" s="89"/>
      <c r="T1934" s="89"/>
      <c r="U1934" s="89"/>
      <c r="V1934" s="89"/>
      <c r="W1934" s="89"/>
      <c r="X1934" s="89"/>
      <c r="Y1934" s="89"/>
      <c r="Z1934" s="89"/>
      <c r="AA1934" s="89"/>
      <c r="AB1934" s="89"/>
      <c r="AC1934" s="89"/>
      <c r="AD1934" s="89"/>
    </row>
    <row r="1935" spans="18:30" x14ac:dyDescent="0.3">
      <c r="R1935" s="89"/>
      <c r="S1935" s="89"/>
      <c r="T1935" s="89"/>
      <c r="U1935" s="89"/>
      <c r="V1935" s="89"/>
      <c r="W1935" s="89"/>
      <c r="X1935" s="89"/>
      <c r="Y1935" s="89"/>
      <c r="Z1935" s="89"/>
      <c r="AA1935" s="89"/>
      <c r="AB1935" s="89"/>
      <c r="AC1935" s="89"/>
      <c r="AD1935" s="89"/>
    </row>
    <row r="1936" spans="18:30" x14ac:dyDescent="0.3">
      <c r="R1936" s="89"/>
      <c r="S1936" s="89"/>
      <c r="T1936" s="89"/>
      <c r="U1936" s="89"/>
      <c r="V1936" s="89"/>
      <c r="W1936" s="89"/>
      <c r="X1936" s="89"/>
      <c r="Y1936" s="89"/>
      <c r="Z1936" s="89"/>
      <c r="AA1936" s="89"/>
      <c r="AB1936" s="89"/>
      <c r="AC1936" s="89"/>
      <c r="AD1936" s="89"/>
    </row>
    <row r="1937" spans="18:30" x14ac:dyDescent="0.3">
      <c r="R1937" s="89"/>
      <c r="S1937" s="89"/>
      <c r="T1937" s="89"/>
      <c r="U1937" s="89"/>
      <c r="V1937" s="89"/>
      <c r="W1937" s="89"/>
      <c r="X1937" s="89"/>
      <c r="Y1937" s="89"/>
      <c r="Z1937" s="89"/>
      <c r="AA1937" s="89"/>
      <c r="AB1937" s="89"/>
      <c r="AC1937" s="89"/>
      <c r="AD1937" s="89"/>
    </row>
    <row r="1938" spans="18:30" x14ac:dyDescent="0.3">
      <c r="R1938" s="89"/>
      <c r="S1938" s="89"/>
      <c r="T1938" s="89"/>
      <c r="U1938" s="89"/>
      <c r="V1938" s="89"/>
      <c r="W1938" s="89"/>
      <c r="X1938" s="89"/>
      <c r="Y1938" s="89"/>
      <c r="Z1938" s="89"/>
      <c r="AA1938" s="89"/>
      <c r="AB1938" s="89"/>
      <c r="AC1938" s="89"/>
      <c r="AD1938" s="89"/>
    </row>
    <row r="1939" spans="18:30" x14ac:dyDescent="0.3">
      <c r="R1939" s="89"/>
      <c r="S1939" s="89"/>
      <c r="T1939" s="89"/>
      <c r="U1939" s="89"/>
      <c r="V1939" s="89"/>
      <c r="W1939" s="89"/>
      <c r="X1939" s="89"/>
      <c r="Y1939" s="89"/>
      <c r="Z1939" s="89"/>
      <c r="AA1939" s="89"/>
      <c r="AB1939" s="89"/>
      <c r="AC1939" s="89"/>
      <c r="AD1939" s="89"/>
    </row>
    <row r="1940" spans="18:30" x14ac:dyDescent="0.3">
      <c r="R1940" s="89"/>
      <c r="S1940" s="89"/>
      <c r="T1940" s="89"/>
      <c r="U1940" s="89"/>
      <c r="V1940" s="89"/>
      <c r="W1940" s="89"/>
      <c r="X1940" s="89"/>
      <c r="Y1940" s="89"/>
      <c r="Z1940" s="89"/>
      <c r="AA1940" s="89"/>
      <c r="AB1940" s="89"/>
      <c r="AC1940" s="89"/>
      <c r="AD1940" s="89"/>
    </row>
    <row r="1941" spans="18:30" x14ac:dyDescent="0.3">
      <c r="R1941" s="89"/>
      <c r="S1941" s="89"/>
      <c r="T1941" s="89"/>
      <c r="U1941" s="89"/>
      <c r="V1941" s="89"/>
      <c r="W1941" s="89"/>
      <c r="X1941" s="89"/>
      <c r="Y1941" s="89"/>
      <c r="Z1941" s="89"/>
      <c r="AA1941" s="89"/>
      <c r="AB1941" s="89"/>
      <c r="AC1941" s="89"/>
      <c r="AD1941" s="89"/>
    </row>
    <row r="1942" spans="18:30" x14ac:dyDescent="0.3">
      <c r="R1942" s="89"/>
      <c r="S1942" s="89"/>
      <c r="T1942" s="89"/>
      <c r="U1942" s="89"/>
      <c r="V1942" s="89"/>
      <c r="W1942" s="89"/>
      <c r="X1942" s="89"/>
      <c r="Y1942" s="89"/>
      <c r="Z1942" s="89"/>
      <c r="AA1942" s="89"/>
      <c r="AB1942" s="89"/>
      <c r="AC1942" s="89"/>
      <c r="AD1942" s="89"/>
    </row>
    <row r="1943" spans="18:30" x14ac:dyDescent="0.3">
      <c r="R1943" s="89"/>
      <c r="S1943" s="89"/>
      <c r="T1943" s="89"/>
      <c r="U1943" s="89"/>
      <c r="V1943" s="89"/>
      <c r="W1943" s="89"/>
      <c r="X1943" s="89"/>
      <c r="Y1943" s="89"/>
      <c r="Z1943" s="89"/>
      <c r="AA1943" s="89"/>
      <c r="AB1943" s="89"/>
      <c r="AC1943" s="89"/>
      <c r="AD1943" s="89"/>
    </row>
    <row r="1944" spans="18:30" x14ac:dyDescent="0.3">
      <c r="R1944" s="89"/>
      <c r="S1944" s="89"/>
      <c r="T1944" s="89"/>
      <c r="U1944" s="89"/>
      <c r="V1944" s="89"/>
      <c r="W1944" s="89"/>
      <c r="X1944" s="89"/>
      <c r="Y1944" s="89"/>
      <c r="Z1944" s="89"/>
      <c r="AA1944" s="89"/>
      <c r="AB1944" s="89"/>
      <c r="AC1944" s="89"/>
      <c r="AD1944" s="89"/>
    </row>
    <row r="1945" spans="18:30" x14ac:dyDescent="0.3">
      <c r="R1945" s="89"/>
      <c r="S1945" s="89"/>
      <c r="T1945" s="89"/>
      <c r="U1945" s="89"/>
      <c r="V1945" s="89"/>
      <c r="W1945" s="89"/>
      <c r="X1945" s="89"/>
      <c r="Y1945" s="89"/>
      <c r="Z1945" s="89"/>
      <c r="AA1945" s="89"/>
      <c r="AB1945" s="89"/>
      <c r="AC1945" s="89"/>
      <c r="AD1945" s="89"/>
    </row>
    <row r="1946" spans="18:30" x14ac:dyDescent="0.3">
      <c r="R1946" s="89"/>
      <c r="S1946" s="89"/>
      <c r="T1946" s="89"/>
      <c r="U1946" s="89"/>
      <c r="V1946" s="89"/>
      <c r="W1946" s="89"/>
      <c r="X1946" s="89"/>
      <c r="Y1946" s="89"/>
      <c r="Z1946" s="89"/>
      <c r="AA1946" s="89"/>
      <c r="AB1946" s="89"/>
      <c r="AC1946" s="89"/>
      <c r="AD1946" s="89"/>
    </row>
    <row r="1947" spans="18:30" x14ac:dyDescent="0.3">
      <c r="R1947" s="89"/>
      <c r="S1947" s="89"/>
      <c r="T1947" s="89"/>
      <c r="U1947" s="89"/>
      <c r="V1947" s="89"/>
      <c r="W1947" s="89"/>
      <c r="X1947" s="89"/>
      <c r="Y1947" s="89"/>
      <c r="Z1947" s="89"/>
      <c r="AA1947" s="89"/>
      <c r="AB1947" s="89"/>
      <c r="AC1947" s="89"/>
      <c r="AD1947" s="89"/>
    </row>
    <row r="1948" spans="18:30" x14ac:dyDescent="0.3">
      <c r="R1948" s="89"/>
      <c r="S1948" s="89"/>
      <c r="T1948" s="89"/>
      <c r="U1948" s="89"/>
      <c r="V1948" s="89"/>
      <c r="W1948" s="89"/>
      <c r="X1948" s="89"/>
      <c r="Y1948" s="89"/>
      <c r="Z1948" s="89"/>
      <c r="AA1948" s="89"/>
      <c r="AB1948" s="89"/>
      <c r="AC1948" s="89"/>
      <c r="AD1948" s="89"/>
    </row>
    <row r="1949" spans="18:30" x14ac:dyDescent="0.3">
      <c r="R1949" s="89"/>
      <c r="S1949" s="89"/>
      <c r="T1949" s="89"/>
      <c r="U1949" s="89"/>
      <c r="V1949" s="89"/>
      <c r="W1949" s="89"/>
      <c r="X1949" s="89"/>
      <c r="Y1949" s="89"/>
      <c r="Z1949" s="89"/>
      <c r="AA1949" s="89"/>
      <c r="AB1949" s="89"/>
      <c r="AC1949" s="89"/>
      <c r="AD1949" s="89"/>
    </row>
    <row r="1950" spans="18:30" x14ac:dyDescent="0.3">
      <c r="R1950" s="89"/>
      <c r="S1950" s="89"/>
      <c r="T1950" s="89"/>
      <c r="U1950" s="89"/>
      <c r="V1950" s="89"/>
      <c r="W1950" s="89"/>
      <c r="X1950" s="89"/>
      <c r="Y1950" s="89"/>
      <c r="Z1950" s="89"/>
      <c r="AA1950" s="89"/>
      <c r="AB1950" s="89"/>
      <c r="AC1950" s="89"/>
      <c r="AD1950" s="89"/>
    </row>
    <row r="1951" spans="18:30" x14ac:dyDescent="0.3">
      <c r="R1951" s="89"/>
      <c r="S1951" s="89"/>
      <c r="T1951" s="89"/>
      <c r="U1951" s="89"/>
      <c r="V1951" s="89"/>
      <c r="W1951" s="89"/>
      <c r="X1951" s="89"/>
      <c r="Y1951" s="89"/>
      <c r="Z1951" s="89"/>
      <c r="AA1951" s="89"/>
      <c r="AB1951" s="89"/>
      <c r="AC1951" s="89"/>
      <c r="AD1951" s="89"/>
    </row>
    <row r="1952" spans="18:30" x14ac:dyDescent="0.3">
      <c r="R1952" s="89"/>
      <c r="S1952" s="89"/>
      <c r="T1952" s="89"/>
      <c r="U1952" s="89"/>
      <c r="V1952" s="89"/>
      <c r="W1952" s="89"/>
      <c r="X1952" s="89"/>
      <c r="Y1952" s="89"/>
      <c r="Z1952" s="89"/>
      <c r="AA1952" s="89"/>
      <c r="AB1952" s="89"/>
      <c r="AC1952" s="89"/>
      <c r="AD1952" s="89"/>
    </row>
    <row r="1953" spans="18:30" x14ac:dyDescent="0.3">
      <c r="R1953" s="89"/>
      <c r="S1953" s="89"/>
      <c r="T1953" s="89"/>
      <c r="U1953" s="89"/>
      <c r="V1953" s="89"/>
      <c r="W1953" s="89"/>
      <c r="X1953" s="89"/>
      <c r="Y1953" s="89"/>
      <c r="Z1953" s="89"/>
      <c r="AA1953" s="89"/>
      <c r="AB1953" s="89"/>
      <c r="AC1953" s="89"/>
      <c r="AD1953" s="89"/>
    </row>
    <row r="1954" spans="18:30" x14ac:dyDescent="0.3">
      <c r="R1954" s="89"/>
      <c r="S1954" s="89"/>
      <c r="T1954" s="89"/>
      <c r="U1954" s="89"/>
      <c r="V1954" s="89"/>
      <c r="W1954" s="89"/>
      <c r="X1954" s="89"/>
      <c r="Y1954" s="89"/>
      <c r="Z1954" s="89"/>
      <c r="AA1954" s="89"/>
      <c r="AB1954" s="89"/>
      <c r="AC1954" s="89"/>
      <c r="AD1954" s="89"/>
    </row>
    <row r="1955" spans="18:30" x14ac:dyDescent="0.3">
      <c r="R1955" s="89"/>
      <c r="S1955" s="89"/>
      <c r="T1955" s="89"/>
      <c r="U1955" s="89"/>
      <c r="V1955" s="89"/>
      <c r="W1955" s="89"/>
      <c r="X1955" s="89"/>
      <c r="Y1955" s="89"/>
      <c r="Z1955" s="89"/>
      <c r="AA1955" s="89"/>
      <c r="AB1955" s="89"/>
      <c r="AC1955" s="89"/>
      <c r="AD1955" s="89"/>
    </row>
    <row r="1956" spans="18:30" x14ac:dyDescent="0.3">
      <c r="R1956" s="89"/>
      <c r="S1956" s="89"/>
      <c r="T1956" s="89"/>
      <c r="U1956" s="89"/>
      <c r="V1956" s="89"/>
      <c r="W1956" s="89"/>
      <c r="X1956" s="89"/>
      <c r="Y1956" s="89"/>
      <c r="Z1956" s="89"/>
      <c r="AA1956" s="89"/>
      <c r="AB1956" s="89"/>
      <c r="AC1956" s="89"/>
      <c r="AD1956" s="89"/>
    </row>
    <row r="1957" spans="18:30" x14ac:dyDescent="0.3">
      <c r="R1957" s="89"/>
      <c r="S1957" s="89"/>
      <c r="T1957" s="89"/>
      <c r="U1957" s="89"/>
      <c r="V1957" s="89"/>
      <c r="W1957" s="89"/>
      <c r="X1957" s="89"/>
      <c r="Y1957" s="89"/>
      <c r="Z1957" s="89"/>
      <c r="AA1957" s="89"/>
      <c r="AB1957" s="89"/>
      <c r="AC1957" s="89"/>
      <c r="AD1957" s="89"/>
    </row>
    <row r="1958" spans="18:30" x14ac:dyDescent="0.3">
      <c r="R1958" s="89"/>
      <c r="S1958" s="89"/>
      <c r="T1958" s="89"/>
      <c r="U1958" s="89"/>
      <c r="V1958" s="89"/>
      <c r="W1958" s="89"/>
      <c r="X1958" s="89"/>
      <c r="Y1958" s="89"/>
      <c r="Z1958" s="89"/>
      <c r="AA1958" s="89"/>
      <c r="AB1958" s="89"/>
      <c r="AC1958" s="89"/>
      <c r="AD1958" s="89"/>
    </row>
    <row r="1959" spans="18:30" x14ac:dyDescent="0.3">
      <c r="R1959" s="89"/>
      <c r="S1959" s="89"/>
      <c r="T1959" s="89"/>
      <c r="U1959" s="89"/>
      <c r="V1959" s="89"/>
      <c r="W1959" s="89"/>
      <c r="X1959" s="89"/>
      <c r="Y1959" s="89"/>
      <c r="Z1959" s="89"/>
      <c r="AA1959" s="89"/>
      <c r="AB1959" s="89"/>
      <c r="AC1959" s="89"/>
      <c r="AD1959" s="89"/>
    </row>
    <row r="1960" spans="18:30" x14ac:dyDescent="0.3">
      <c r="R1960" s="89"/>
      <c r="S1960" s="89"/>
      <c r="T1960" s="89"/>
      <c r="U1960" s="89"/>
      <c r="V1960" s="89"/>
      <c r="W1960" s="89"/>
      <c r="X1960" s="89"/>
      <c r="Y1960" s="89"/>
      <c r="Z1960" s="89"/>
      <c r="AA1960" s="89"/>
      <c r="AB1960" s="89"/>
      <c r="AC1960" s="89"/>
      <c r="AD1960" s="89"/>
    </row>
    <row r="1961" spans="18:30" x14ac:dyDescent="0.3">
      <c r="R1961" s="89"/>
      <c r="S1961" s="89"/>
      <c r="T1961" s="89"/>
      <c r="U1961" s="89"/>
      <c r="V1961" s="89"/>
      <c r="W1961" s="89"/>
      <c r="X1961" s="89"/>
      <c r="Y1961" s="89"/>
      <c r="Z1961" s="89"/>
      <c r="AA1961" s="89"/>
      <c r="AB1961" s="89"/>
      <c r="AC1961" s="89"/>
      <c r="AD1961" s="89"/>
    </row>
    <row r="1962" spans="18:30" x14ac:dyDescent="0.3">
      <c r="R1962" s="89"/>
      <c r="S1962" s="89"/>
      <c r="T1962" s="89"/>
      <c r="U1962" s="89"/>
      <c r="V1962" s="89"/>
      <c r="W1962" s="89"/>
      <c r="X1962" s="89"/>
      <c r="Y1962" s="89"/>
      <c r="Z1962" s="89"/>
      <c r="AA1962" s="89"/>
      <c r="AB1962" s="89"/>
      <c r="AC1962" s="89"/>
      <c r="AD1962" s="89"/>
    </row>
    <row r="1963" spans="18:30" x14ac:dyDescent="0.3">
      <c r="R1963" s="89"/>
      <c r="S1963" s="89"/>
      <c r="T1963" s="89"/>
      <c r="U1963" s="89"/>
      <c r="V1963" s="89"/>
      <c r="W1963" s="89"/>
      <c r="X1963" s="89"/>
      <c r="Y1963" s="89"/>
      <c r="Z1963" s="89"/>
      <c r="AA1963" s="89"/>
      <c r="AB1963" s="89"/>
      <c r="AC1963" s="89"/>
      <c r="AD1963" s="89"/>
    </row>
    <row r="1964" spans="18:30" x14ac:dyDescent="0.3">
      <c r="R1964" s="89"/>
      <c r="S1964" s="89"/>
      <c r="T1964" s="89"/>
      <c r="U1964" s="89"/>
      <c r="V1964" s="89"/>
      <c r="W1964" s="89"/>
      <c r="X1964" s="89"/>
      <c r="Y1964" s="89"/>
      <c r="Z1964" s="89"/>
      <c r="AA1964" s="89"/>
      <c r="AB1964" s="89"/>
      <c r="AC1964" s="89"/>
      <c r="AD1964" s="89"/>
    </row>
    <row r="1965" spans="18:30" x14ac:dyDescent="0.3">
      <c r="R1965" s="89"/>
      <c r="S1965" s="89"/>
      <c r="T1965" s="89"/>
      <c r="U1965" s="89"/>
      <c r="V1965" s="89"/>
      <c r="W1965" s="89"/>
      <c r="X1965" s="89"/>
      <c r="Y1965" s="89"/>
      <c r="Z1965" s="89"/>
      <c r="AA1965" s="89"/>
      <c r="AB1965" s="89"/>
      <c r="AC1965" s="89"/>
      <c r="AD1965" s="89"/>
    </row>
    <row r="1966" spans="18:30" x14ac:dyDescent="0.3">
      <c r="R1966" s="89"/>
      <c r="S1966" s="89"/>
      <c r="T1966" s="89"/>
      <c r="U1966" s="89"/>
      <c r="V1966" s="89"/>
      <c r="W1966" s="89"/>
      <c r="X1966" s="89"/>
      <c r="Y1966" s="89"/>
      <c r="Z1966" s="89"/>
      <c r="AA1966" s="89"/>
      <c r="AB1966" s="89"/>
      <c r="AC1966" s="89"/>
      <c r="AD1966" s="89"/>
    </row>
    <row r="1967" spans="18:30" x14ac:dyDescent="0.3">
      <c r="R1967" s="89"/>
      <c r="S1967" s="89"/>
      <c r="T1967" s="89"/>
      <c r="U1967" s="89"/>
      <c r="V1967" s="89"/>
      <c r="W1967" s="89"/>
      <c r="X1967" s="89"/>
      <c r="Y1967" s="89"/>
      <c r="Z1967" s="89"/>
      <c r="AA1967" s="89"/>
      <c r="AB1967" s="89"/>
      <c r="AC1967" s="89"/>
      <c r="AD1967" s="89"/>
    </row>
    <row r="1968" spans="18:30" x14ac:dyDescent="0.3">
      <c r="R1968" s="89"/>
      <c r="S1968" s="89"/>
      <c r="T1968" s="89"/>
      <c r="U1968" s="89"/>
      <c r="V1968" s="89"/>
      <c r="W1968" s="89"/>
      <c r="X1968" s="89"/>
      <c r="Y1968" s="89"/>
      <c r="Z1968" s="89"/>
      <c r="AA1968" s="89"/>
      <c r="AB1968" s="89"/>
      <c r="AC1968" s="89"/>
      <c r="AD1968" s="89"/>
    </row>
    <row r="1969" spans="18:30" x14ac:dyDescent="0.3">
      <c r="R1969" s="89"/>
      <c r="S1969" s="89"/>
      <c r="T1969" s="89"/>
      <c r="U1969" s="89"/>
      <c r="V1969" s="89"/>
      <c r="W1969" s="89"/>
      <c r="X1969" s="89"/>
      <c r="Y1969" s="89"/>
      <c r="Z1969" s="89"/>
      <c r="AA1969" s="89"/>
      <c r="AB1969" s="89"/>
      <c r="AC1969" s="89"/>
      <c r="AD1969" s="89"/>
    </row>
    <row r="1970" spans="18:30" x14ac:dyDescent="0.3">
      <c r="R1970" s="89"/>
      <c r="S1970" s="89"/>
      <c r="T1970" s="89"/>
      <c r="U1970" s="89"/>
      <c r="V1970" s="89"/>
      <c r="W1970" s="89"/>
      <c r="X1970" s="89"/>
      <c r="Y1970" s="89"/>
      <c r="Z1970" s="89"/>
      <c r="AA1970" s="89"/>
      <c r="AB1970" s="89"/>
      <c r="AC1970" s="89"/>
      <c r="AD1970" s="89"/>
    </row>
    <row r="1971" spans="18:30" x14ac:dyDescent="0.3">
      <c r="R1971" s="89"/>
      <c r="S1971" s="89"/>
      <c r="T1971" s="89"/>
      <c r="U1971" s="89"/>
      <c r="V1971" s="89"/>
      <c r="W1971" s="89"/>
      <c r="X1971" s="89"/>
      <c r="Y1971" s="89"/>
      <c r="Z1971" s="89"/>
      <c r="AA1971" s="89"/>
      <c r="AB1971" s="89"/>
      <c r="AC1971" s="89"/>
      <c r="AD1971" s="89"/>
    </row>
    <row r="1972" spans="18:30" x14ac:dyDescent="0.3">
      <c r="R1972" s="89"/>
      <c r="S1972" s="89"/>
      <c r="T1972" s="89"/>
      <c r="U1972" s="89"/>
      <c r="V1972" s="89"/>
      <c r="W1972" s="89"/>
      <c r="X1972" s="89"/>
      <c r="Y1972" s="89"/>
      <c r="Z1972" s="89"/>
      <c r="AA1972" s="89"/>
      <c r="AB1972" s="89"/>
      <c r="AC1972" s="89"/>
      <c r="AD1972" s="89"/>
    </row>
    <row r="1973" spans="18:30" x14ac:dyDescent="0.3">
      <c r="R1973" s="89"/>
      <c r="S1973" s="89"/>
      <c r="T1973" s="89"/>
      <c r="U1973" s="89"/>
      <c r="V1973" s="89"/>
      <c r="W1973" s="89"/>
      <c r="X1973" s="89"/>
      <c r="Y1973" s="89"/>
      <c r="Z1973" s="89"/>
      <c r="AA1973" s="89"/>
      <c r="AB1973" s="89"/>
      <c r="AC1973" s="89"/>
      <c r="AD1973" s="89"/>
    </row>
    <row r="1974" spans="18:30" x14ac:dyDescent="0.3">
      <c r="R1974" s="89"/>
      <c r="S1974" s="89"/>
      <c r="T1974" s="89"/>
      <c r="U1974" s="89"/>
      <c r="V1974" s="89"/>
      <c r="W1974" s="89"/>
      <c r="X1974" s="89"/>
      <c r="Y1974" s="89"/>
      <c r="Z1974" s="89"/>
      <c r="AA1974" s="89"/>
      <c r="AB1974" s="89"/>
      <c r="AC1974" s="89"/>
      <c r="AD1974" s="89"/>
    </row>
    <row r="1975" spans="18:30" x14ac:dyDescent="0.3">
      <c r="R1975" s="89"/>
      <c r="S1975" s="89"/>
      <c r="T1975" s="89"/>
      <c r="U1975" s="89"/>
      <c r="V1975" s="89"/>
      <c r="W1975" s="89"/>
      <c r="X1975" s="89"/>
      <c r="Y1975" s="89"/>
      <c r="Z1975" s="89"/>
      <c r="AA1975" s="89"/>
      <c r="AB1975" s="89"/>
      <c r="AC1975" s="89"/>
      <c r="AD1975" s="89"/>
    </row>
    <row r="1976" spans="18:30" x14ac:dyDescent="0.3">
      <c r="R1976" s="89"/>
      <c r="S1976" s="89"/>
      <c r="T1976" s="89"/>
      <c r="U1976" s="89"/>
      <c r="V1976" s="89"/>
      <c r="W1976" s="89"/>
      <c r="X1976" s="89"/>
      <c r="Y1976" s="89"/>
      <c r="Z1976" s="89"/>
      <c r="AA1976" s="89"/>
      <c r="AB1976" s="89"/>
      <c r="AC1976" s="89"/>
      <c r="AD1976" s="89"/>
    </row>
    <row r="1977" spans="18:30" x14ac:dyDescent="0.3">
      <c r="R1977" s="89"/>
      <c r="S1977" s="89"/>
      <c r="T1977" s="89"/>
      <c r="U1977" s="89"/>
      <c r="V1977" s="89"/>
      <c r="W1977" s="89"/>
      <c r="X1977" s="89"/>
      <c r="Y1977" s="89"/>
      <c r="Z1977" s="89"/>
      <c r="AA1977" s="89"/>
      <c r="AB1977" s="89"/>
      <c r="AC1977" s="89"/>
      <c r="AD1977" s="89"/>
    </row>
    <row r="1978" spans="18:30" x14ac:dyDescent="0.3">
      <c r="R1978" s="89"/>
      <c r="S1978" s="89"/>
      <c r="T1978" s="89"/>
      <c r="U1978" s="89"/>
      <c r="V1978" s="89"/>
      <c r="W1978" s="89"/>
      <c r="X1978" s="89"/>
      <c r="Y1978" s="89"/>
      <c r="Z1978" s="89"/>
      <c r="AA1978" s="89"/>
      <c r="AB1978" s="89"/>
      <c r="AC1978" s="89"/>
      <c r="AD1978" s="89"/>
    </row>
    <row r="1979" spans="18:30" x14ac:dyDescent="0.3">
      <c r="R1979" s="89"/>
      <c r="S1979" s="89"/>
      <c r="T1979" s="89"/>
      <c r="U1979" s="89"/>
      <c r="V1979" s="89"/>
      <c r="W1979" s="89"/>
      <c r="X1979" s="89"/>
      <c r="Y1979" s="89"/>
      <c r="Z1979" s="89"/>
      <c r="AA1979" s="89"/>
      <c r="AB1979" s="89"/>
      <c r="AC1979" s="89"/>
      <c r="AD1979" s="89"/>
    </row>
    <row r="1980" spans="18:30" x14ac:dyDescent="0.3">
      <c r="R1980" s="89"/>
      <c r="S1980" s="89"/>
      <c r="T1980" s="89"/>
      <c r="U1980" s="89"/>
      <c r="V1980" s="89"/>
      <c r="W1980" s="89"/>
      <c r="X1980" s="89"/>
      <c r="Y1980" s="89"/>
      <c r="Z1980" s="89"/>
      <c r="AA1980" s="89"/>
      <c r="AB1980" s="89"/>
      <c r="AC1980" s="89"/>
      <c r="AD1980" s="89"/>
    </row>
    <row r="1981" spans="18:30" x14ac:dyDescent="0.3">
      <c r="R1981" s="89"/>
      <c r="S1981" s="89"/>
      <c r="T1981" s="89"/>
      <c r="U1981" s="89"/>
      <c r="V1981" s="89"/>
      <c r="W1981" s="89"/>
      <c r="X1981" s="89"/>
      <c r="Y1981" s="89"/>
      <c r="Z1981" s="89"/>
      <c r="AA1981" s="89"/>
      <c r="AB1981" s="89"/>
      <c r="AC1981" s="89"/>
      <c r="AD1981" s="89"/>
    </row>
    <row r="1982" spans="18:30" x14ac:dyDescent="0.3">
      <c r="R1982" s="89"/>
      <c r="S1982" s="89"/>
      <c r="T1982" s="89"/>
      <c r="U1982" s="89"/>
      <c r="V1982" s="89"/>
      <c r="W1982" s="89"/>
      <c r="X1982" s="89"/>
      <c r="Y1982" s="89"/>
      <c r="Z1982" s="89"/>
      <c r="AA1982" s="89"/>
      <c r="AB1982" s="89"/>
      <c r="AC1982" s="89"/>
      <c r="AD1982" s="89"/>
    </row>
    <row r="1983" spans="18:30" x14ac:dyDescent="0.3">
      <c r="R1983" s="89"/>
      <c r="S1983" s="89"/>
      <c r="T1983" s="89"/>
      <c r="U1983" s="89"/>
      <c r="V1983" s="89"/>
      <c r="W1983" s="89"/>
      <c r="X1983" s="89"/>
      <c r="Y1983" s="89"/>
      <c r="Z1983" s="89"/>
      <c r="AA1983" s="89"/>
      <c r="AB1983" s="89"/>
      <c r="AC1983" s="89"/>
      <c r="AD1983" s="89"/>
    </row>
    <row r="1984" spans="18:30" x14ac:dyDescent="0.3">
      <c r="R1984" s="89"/>
      <c r="S1984" s="89"/>
      <c r="T1984" s="89"/>
      <c r="U1984" s="89"/>
      <c r="V1984" s="89"/>
      <c r="W1984" s="89"/>
      <c r="X1984" s="89"/>
      <c r="Y1984" s="89"/>
      <c r="Z1984" s="89"/>
      <c r="AA1984" s="89"/>
      <c r="AB1984" s="89"/>
      <c r="AC1984" s="89"/>
      <c r="AD1984" s="89"/>
    </row>
    <row r="1985" spans="18:30" x14ac:dyDescent="0.3">
      <c r="R1985" s="89"/>
      <c r="S1985" s="89"/>
      <c r="T1985" s="89"/>
      <c r="U1985" s="89"/>
      <c r="V1985" s="89"/>
      <c r="W1985" s="89"/>
      <c r="X1985" s="89"/>
      <c r="Y1985" s="89"/>
      <c r="Z1985" s="89"/>
      <c r="AA1985" s="89"/>
      <c r="AB1985" s="89"/>
      <c r="AC1985" s="89"/>
      <c r="AD1985" s="89"/>
    </row>
    <row r="1986" spans="18:30" x14ac:dyDescent="0.3">
      <c r="R1986" s="89"/>
      <c r="S1986" s="89"/>
      <c r="T1986" s="89"/>
      <c r="U1986" s="89"/>
      <c r="V1986" s="89"/>
      <c r="W1986" s="89"/>
      <c r="X1986" s="89"/>
      <c r="Y1986" s="89"/>
      <c r="Z1986" s="89"/>
      <c r="AA1986" s="89"/>
      <c r="AB1986" s="89"/>
      <c r="AC1986" s="89"/>
      <c r="AD1986" s="89"/>
    </row>
    <row r="1987" spans="18:30" x14ac:dyDescent="0.3">
      <c r="R1987" s="89"/>
      <c r="S1987" s="89"/>
      <c r="T1987" s="89"/>
      <c r="U1987" s="89"/>
      <c r="V1987" s="89"/>
      <c r="W1987" s="89"/>
      <c r="X1987" s="89"/>
      <c r="Y1987" s="89"/>
      <c r="Z1987" s="89"/>
      <c r="AA1987" s="89"/>
      <c r="AB1987" s="89"/>
      <c r="AC1987" s="89"/>
      <c r="AD1987" s="89"/>
    </row>
    <row r="1988" spans="18:30" x14ac:dyDescent="0.3">
      <c r="R1988" s="89"/>
      <c r="S1988" s="89"/>
      <c r="T1988" s="89"/>
      <c r="U1988" s="89"/>
      <c r="V1988" s="89"/>
      <c r="W1988" s="89"/>
      <c r="X1988" s="89"/>
      <c r="Y1988" s="89"/>
      <c r="Z1988" s="89"/>
      <c r="AA1988" s="89"/>
      <c r="AB1988" s="89"/>
      <c r="AC1988" s="89"/>
      <c r="AD1988" s="89"/>
    </row>
    <row r="1989" spans="18:30" x14ac:dyDescent="0.3">
      <c r="R1989" s="89"/>
      <c r="S1989" s="89"/>
      <c r="T1989" s="89"/>
      <c r="U1989" s="89"/>
      <c r="V1989" s="89"/>
      <c r="W1989" s="89"/>
      <c r="X1989" s="89"/>
      <c r="Y1989" s="89"/>
      <c r="Z1989" s="89"/>
      <c r="AA1989" s="89"/>
      <c r="AB1989" s="89"/>
      <c r="AC1989" s="89"/>
      <c r="AD1989" s="89"/>
    </row>
    <row r="1990" spans="18:30" x14ac:dyDescent="0.3">
      <c r="R1990" s="89"/>
      <c r="S1990" s="89"/>
      <c r="T1990" s="89"/>
      <c r="U1990" s="89"/>
      <c r="V1990" s="89"/>
      <c r="W1990" s="89"/>
      <c r="X1990" s="89"/>
      <c r="Y1990" s="89"/>
      <c r="Z1990" s="89"/>
      <c r="AA1990" s="89"/>
      <c r="AB1990" s="89"/>
      <c r="AC1990" s="89"/>
      <c r="AD1990" s="89"/>
    </row>
    <row r="1991" spans="18:30" x14ac:dyDescent="0.3">
      <c r="R1991" s="89"/>
      <c r="S1991" s="89"/>
      <c r="T1991" s="89"/>
      <c r="U1991" s="89"/>
      <c r="V1991" s="89"/>
      <c r="W1991" s="89"/>
      <c r="X1991" s="89"/>
      <c r="Y1991" s="89"/>
      <c r="Z1991" s="89"/>
      <c r="AA1991" s="89"/>
      <c r="AB1991" s="89"/>
      <c r="AC1991" s="89"/>
      <c r="AD1991" s="89"/>
    </row>
    <row r="1992" spans="18:30" x14ac:dyDescent="0.3">
      <c r="R1992" s="89"/>
      <c r="S1992" s="89"/>
      <c r="T1992" s="89"/>
      <c r="U1992" s="89"/>
      <c r="V1992" s="89"/>
      <c r="W1992" s="89"/>
      <c r="X1992" s="89"/>
      <c r="Y1992" s="89"/>
      <c r="Z1992" s="89"/>
      <c r="AA1992" s="89"/>
      <c r="AB1992" s="89"/>
      <c r="AC1992" s="89"/>
      <c r="AD1992" s="89"/>
    </row>
    <row r="1993" spans="18:30" x14ac:dyDescent="0.3">
      <c r="R1993" s="89"/>
      <c r="S1993" s="89"/>
      <c r="T1993" s="89"/>
      <c r="U1993" s="89"/>
      <c r="V1993" s="89"/>
      <c r="W1993" s="89"/>
      <c r="X1993" s="89"/>
      <c r="Y1993" s="89"/>
      <c r="Z1993" s="89"/>
      <c r="AA1993" s="89"/>
      <c r="AB1993" s="89"/>
      <c r="AC1993" s="89"/>
      <c r="AD1993" s="89"/>
    </row>
    <row r="1994" spans="18:30" x14ac:dyDescent="0.3">
      <c r="R1994" s="89"/>
      <c r="S1994" s="89"/>
      <c r="T1994" s="89"/>
      <c r="U1994" s="89"/>
      <c r="V1994" s="89"/>
      <c r="W1994" s="89"/>
      <c r="X1994" s="89"/>
      <c r="Y1994" s="89"/>
      <c r="Z1994" s="89"/>
      <c r="AA1994" s="89"/>
      <c r="AB1994" s="89"/>
      <c r="AC1994" s="89"/>
      <c r="AD1994" s="89"/>
    </row>
    <row r="1995" spans="18:30" x14ac:dyDescent="0.3">
      <c r="R1995" s="89"/>
      <c r="S1995" s="89"/>
      <c r="T1995" s="89"/>
      <c r="U1995" s="89"/>
      <c r="V1995" s="89"/>
      <c r="W1995" s="89"/>
      <c r="X1995" s="89"/>
      <c r="Y1995" s="89"/>
      <c r="Z1995" s="89"/>
      <c r="AA1995" s="89"/>
      <c r="AB1995" s="89"/>
      <c r="AC1995" s="89"/>
      <c r="AD1995" s="89"/>
    </row>
    <row r="1996" spans="18:30" x14ac:dyDescent="0.3">
      <c r="R1996" s="89"/>
      <c r="S1996" s="89"/>
      <c r="T1996" s="89"/>
      <c r="U1996" s="89"/>
      <c r="V1996" s="89"/>
      <c r="W1996" s="89"/>
      <c r="X1996" s="89"/>
      <c r="Y1996" s="89"/>
      <c r="Z1996" s="89"/>
      <c r="AA1996" s="89"/>
      <c r="AB1996" s="89"/>
      <c r="AC1996" s="89"/>
      <c r="AD1996" s="89"/>
    </row>
    <row r="1997" spans="18:30" x14ac:dyDescent="0.3">
      <c r="R1997" s="89"/>
      <c r="S1997" s="89"/>
      <c r="T1997" s="89"/>
      <c r="U1997" s="89"/>
      <c r="V1997" s="89"/>
      <c r="W1997" s="89"/>
      <c r="X1997" s="89"/>
      <c r="Y1997" s="89"/>
      <c r="Z1997" s="89"/>
      <c r="AA1997" s="89"/>
      <c r="AB1997" s="89"/>
      <c r="AC1997" s="89"/>
      <c r="AD1997" s="89"/>
    </row>
    <row r="1998" spans="18:30" x14ac:dyDescent="0.3">
      <c r="R1998" s="89"/>
      <c r="S1998" s="89"/>
      <c r="T1998" s="89"/>
      <c r="U1998" s="89"/>
      <c r="V1998" s="89"/>
      <c r="W1998" s="89"/>
      <c r="X1998" s="89"/>
      <c r="Y1998" s="89"/>
      <c r="Z1998" s="89"/>
      <c r="AA1998" s="89"/>
      <c r="AB1998" s="89"/>
      <c r="AC1998" s="89"/>
      <c r="AD1998" s="89"/>
    </row>
    <row r="1999" spans="18:30" x14ac:dyDescent="0.3">
      <c r="R1999" s="89"/>
      <c r="S1999" s="89"/>
      <c r="T1999" s="89"/>
      <c r="U1999" s="89"/>
      <c r="V1999" s="89"/>
      <c r="W1999" s="89"/>
      <c r="X1999" s="89"/>
      <c r="Y1999" s="89"/>
      <c r="Z1999" s="89"/>
      <c r="AA1999" s="89"/>
      <c r="AB1999" s="89"/>
      <c r="AC1999" s="89"/>
      <c r="AD1999" s="89"/>
    </row>
    <row r="2000" spans="18:30" x14ac:dyDescent="0.3">
      <c r="R2000" s="89"/>
      <c r="S2000" s="89"/>
      <c r="T2000" s="89"/>
      <c r="U2000" s="89"/>
      <c r="V2000" s="89"/>
      <c r="W2000" s="89"/>
      <c r="X2000" s="89"/>
      <c r="Y2000" s="89"/>
      <c r="Z2000" s="89"/>
      <c r="AA2000" s="89"/>
      <c r="AB2000" s="89"/>
      <c r="AC2000" s="89"/>
      <c r="AD2000" s="89"/>
    </row>
  </sheetData>
  <autoFilter ref="B1:P19" xr:uid="{E5504648-39D0-4D80-9F1E-1482F2665075}"/>
  <phoneticPr fontId="5" type="noConversion"/>
  <conditionalFormatting sqref="AO3">
    <cfRule type="colorScale" priority="29">
      <colorScale>
        <cfvo type="num" val="0.9"/>
        <cfvo type="num" val="1"/>
        <color rgb="FFFF7128"/>
        <color rgb="FF92D050"/>
      </colorScale>
    </cfRule>
  </conditionalFormatting>
  <conditionalFormatting sqref="AO4">
    <cfRule type="colorScale" priority="28">
      <colorScale>
        <cfvo type="num" val="0.9"/>
        <cfvo type="num" val="1"/>
        <color rgb="FFFF7128"/>
        <color rgb="FF92D050"/>
      </colorScale>
    </cfRule>
  </conditionalFormatting>
  <conditionalFormatting sqref="AO2">
    <cfRule type="colorScale" priority="27">
      <colorScale>
        <cfvo type="num" val="0.9"/>
        <cfvo type="num" val="1"/>
        <color rgb="FFF8696B"/>
        <color rgb="FF92D050"/>
      </colorScale>
    </cfRule>
  </conditionalFormatting>
  <conditionalFormatting sqref="AO5">
    <cfRule type="colorScale" priority="26">
      <colorScale>
        <cfvo type="num" val="0.9"/>
        <cfvo type="num" val="1"/>
        <color rgb="FFFF7128"/>
        <color rgb="FF92D050"/>
      </colorScale>
    </cfRule>
  </conditionalFormatting>
  <conditionalFormatting sqref="AO6">
    <cfRule type="colorScale" priority="25">
      <colorScale>
        <cfvo type="num" val="0.9"/>
        <cfvo type="num" val="1"/>
        <color rgb="FFFF7128"/>
        <color rgb="FF92D050"/>
      </colorScale>
    </cfRule>
  </conditionalFormatting>
  <conditionalFormatting sqref="AO7">
    <cfRule type="colorScale" priority="24">
      <colorScale>
        <cfvo type="num" val="0"/>
        <cfvo type="num" val="1"/>
        <color rgb="FFFF7128"/>
        <color rgb="FF92D050"/>
      </colorScale>
    </cfRule>
  </conditionalFormatting>
  <conditionalFormatting sqref="AO8">
    <cfRule type="colorScale" priority="23">
      <colorScale>
        <cfvo type="num" val="0.9"/>
        <cfvo type="num" val="1"/>
        <color rgb="FFFF7128"/>
        <color rgb="FF92D050"/>
      </colorScale>
    </cfRule>
  </conditionalFormatting>
  <conditionalFormatting sqref="AO9">
    <cfRule type="colorScale" priority="22">
      <colorScale>
        <cfvo type="num" val="0.9"/>
        <cfvo type="num" val="1"/>
        <color rgb="FFFF7128"/>
        <color rgb="FF92D050"/>
      </colorScale>
    </cfRule>
  </conditionalFormatting>
  <conditionalFormatting sqref="AO10">
    <cfRule type="colorScale" priority="21">
      <colorScale>
        <cfvo type="num" val="0.9"/>
        <cfvo type="num" val="1"/>
        <color rgb="FFFF7128"/>
        <color rgb="FF92D050"/>
      </colorScale>
    </cfRule>
  </conditionalFormatting>
  <conditionalFormatting sqref="AQ2">
    <cfRule type="colorScale" priority="20">
      <colorScale>
        <cfvo type="num" val="0.9"/>
        <cfvo type="num" val="1"/>
        <color rgb="FFFF7128"/>
        <color rgb="FF92D050"/>
      </colorScale>
    </cfRule>
  </conditionalFormatting>
  <conditionalFormatting sqref="AQ3">
    <cfRule type="colorScale" priority="19">
      <colorScale>
        <cfvo type="num" val="0.9"/>
        <cfvo type="num" val="1"/>
        <color rgb="FFFF7128"/>
        <color rgb="FF92D050"/>
      </colorScale>
    </cfRule>
  </conditionalFormatting>
  <conditionalFormatting sqref="AQ4">
    <cfRule type="colorScale" priority="18">
      <colorScale>
        <cfvo type="num" val="0.9"/>
        <cfvo type="num" val="1"/>
        <color rgb="FFFF7128"/>
        <color rgb="FF92D050"/>
      </colorScale>
    </cfRule>
  </conditionalFormatting>
  <conditionalFormatting sqref="AQ5">
    <cfRule type="colorScale" priority="17">
      <colorScale>
        <cfvo type="num" val="0.9"/>
        <cfvo type="num" val="1"/>
        <color rgb="FFFF7128"/>
        <color rgb="FF92D050"/>
      </colorScale>
    </cfRule>
  </conditionalFormatting>
  <conditionalFormatting sqref="AQ6">
    <cfRule type="colorScale" priority="16">
      <colorScale>
        <cfvo type="num" val="0.9"/>
        <cfvo type="num" val="1"/>
        <color rgb="FFFF7128"/>
        <color rgb="FF92D050"/>
      </colorScale>
    </cfRule>
  </conditionalFormatting>
  <conditionalFormatting sqref="AQ7">
    <cfRule type="colorScale" priority="15">
      <colorScale>
        <cfvo type="num" val="0.9"/>
        <cfvo type="num" val="1"/>
        <color rgb="FFFF7128"/>
        <color rgb="FF92D050"/>
      </colorScale>
    </cfRule>
  </conditionalFormatting>
  <conditionalFormatting sqref="AQ8">
    <cfRule type="colorScale" priority="14">
      <colorScale>
        <cfvo type="num" val="0.9"/>
        <cfvo type="num" val="1"/>
        <color rgb="FFFF7128"/>
        <color rgb="FF92D050"/>
      </colorScale>
    </cfRule>
  </conditionalFormatting>
  <conditionalFormatting sqref="AQ9">
    <cfRule type="colorScale" priority="13">
      <colorScale>
        <cfvo type="num" val="0.9"/>
        <cfvo type="num" val="1"/>
        <color rgb="FFFF7128"/>
        <color rgb="FF92D050"/>
      </colorScale>
    </cfRule>
  </conditionalFormatting>
  <conditionalFormatting sqref="AQ10">
    <cfRule type="colorScale" priority="12">
      <colorScale>
        <cfvo type="num" val="0.9"/>
        <cfvo type="num" val="1"/>
        <color rgb="FFFF7128"/>
        <color rgb="FF92D050"/>
      </colorScale>
    </cfRule>
  </conditionalFormatting>
  <conditionalFormatting sqref="AP2:AP10">
    <cfRule type="colorScale" priority="11">
      <colorScale>
        <cfvo type="num" val="-1.0000000000000001E-9"/>
        <cfvo type="percentile" val="0"/>
        <cfvo type="num" val="1"/>
        <color rgb="FFFFFF00"/>
        <color rgb="FF92D050"/>
        <color rgb="FFFF0000"/>
      </colorScale>
    </cfRule>
  </conditionalFormatting>
  <conditionalFormatting sqref="AD7 AF7:AQ7">
    <cfRule type="expression" dxfId="8" priority="10">
      <formula>$AH$7=0</formula>
    </cfRule>
  </conditionalFormatting>
  <conditionalFormatting sqref="AD2 AF2:AQ2">
    <cfRule type="expression" dxfId="7" priority="9">
      <formula>$AH$2=0</formula>
    </cfRule>
  </conditionalFormatting>
  <conditionalFormatting sqref="AD3 AF3:AQ3">
    <cfRule type="expression" dxfId="6" priority="8">
      <formula>$AH$3=0</formula>
    </cfRule>
  </conditionalFormatting>
  <conditionalFormatting sqref="AD4 AF4:AQ4">
    <cfRule type="expression" dxfId="5" priority="7">
      <formula>$AH$4=0</formula>
    </cfRule>
  </conditionalFormatting>
  <conditionalFormatting sqref="AD5 AF5:AQ5">
    <cfRule type="expression" dxfId="4" priority="6">
      <formula>$AH$5=0</formula>
    </cfRule>
  </conditionalFormatting>
  <conditionalFormatting sqref="AD6 AF6:AQ6">
    <cfRule type="expression" dxfId="3" priority="5">
      <formula>$AH$6=0</formula>
    </cfRule>
  </conditionalFormatting>
  <conditionalFormatting sqref="AD8 AF8:AQ8">
    <cfRule type="expression" dxfId="2" priority="4">
      <formula>$AH$8=0</formula>
    </cfRule>
  </conditionalFormatting>
  <conditionalFormatting sqref="AD9:AQ9 AE2:AE8">
    <cfRule type="expression" dxfId="1" priority="3">
      <formula>$AH$9=0</formula>
    </cfRule>
  </conditionalFormatting>
  <conditionalFormatting sqref="AD10:AQ10">
    <cfRule type="expression" dxfId="0" priority="2">
      <formula>$AH$10=0</formula>
    </cfRule>
  </conditionalFormatting>
  <conditionalFormatting sqref="AE2:AE10">
    <cfRule type="colorScale" priority="1">
      <colorScale>
        <cfvo type="num" val="0"/>
        <cfvo type="num" val="1E-13"/>
        <color theme="0" tint="-0.249977111117893"/>
        <color theme="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4" r:id="rId3" name="Button 6">
              <controlPr defaultSize="0" print="0" autoFill="0" autoPict="0" macro="[0]!RellenarConBlanco">
                <anchor moveWithCells="1" sizeWithCells="1">
                  <from>
                    <xdr:col>16</xdr:col>
                    <xdr:colOff>152400</xdr:colOff>
                    <xdr:row>0</xdr:row>
                    <xdr:rowOff>83820</xdr:rowOff>
                  </from>
                  <to>
                    <xdr:col>16</xdr:col>
                    <xdr:colOff>769620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FE5F13B-8C1E-402C-BA7C-EC5B168950C3}">
          <x14:formula1>
            <xm:f>LISTA_PIEZAS!$A$1:$A$2000</xm:f>
          </x14:formula1>
          <xm:sqref>Q2:Q5 B9:B19</xm:sqref>
        </x14:dataValidation>
        <x14:dataValidation type="list" allowBlank="1" showInputMessage="1" showErrorMessage="1" xr:uid="{EF0ED5AD-03BD-4C57-AE57-9F804FB7568D}">
          <x14:formula1>
            <xm:f>LISTA_PIEZAS!A1:A229</xm:f>
          </x14:formula1>
          <xm:sqref>B2:B8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D7658-8517-488E-A5D2-A3FFC95EB433}">
  <sheetPr codeName="Sheet8">
    <tabColor theme="6"/>
  </sheetPr>
  <dimension ref="B1:W32"/>
  <sheetViews>
    <sheetView topLeftCell="A3" zoomScale="85" zoomScaleNormal="85" workbookViewId="0">
      <selection activeCell="L7" sqref="L7"/>
    </sheetView>
  </sheetViews>
  <sheetFormatPr defaultRowHeight="14.4" x14ac:dyDescent="0.3"/>
  <cols>
    <col min="3" max="3" width="8.5546875" customWidth="1"/>
    <col min="4" max="4" width="8.44140625" customWidth="1"/>
    <col min="5" max="5" width="21.77734375" customWidth="1"/>
    <col min="8" max="8" width="11.5546875" customWidth="1"/>
    <col min="13" max="13" width="11.88671875" customWidth="1"/>
    <col min="16" max="16" width="20.77734375" customWidth="1"/>
    <col min="18" max="18" width="18.44140625" customWidth="1"/>
    <col min="23" max="23" width="20.88671875" customWidth="1"/>
  </cols>
  <sheetData>
    <row r="1" spans="2:23" x14ac:dyDescent="0.3">
      <c r="F1" s="110"/>
    </row>
    <row r="2" spans="2:23" x14ac:dyDescent="0.3">
      <c r="C2" s="109"/>
      <c r="D2" s="108"/>
    </row>
    <row r="3" spans="2:23" x14ac:dyDescent="0.3">
      <c r="C3" s="109"/>
      <c r="D3" s="108"/>
    </row>
    <row r="4" spans="2:23" x14ac:dyDescent="0.3">
      <c r="C4" s="109"/>
      <c r="D4" s="108"/>
    </row>
    <row r="5" spans="2:23" x14ac:dyDescent="0.3">
      <c r="C5" s="109"/>
      <c r="D5" s="108"/>
    </row>
    <row r="6" spans="2:23" ht="15" thickBot="1" x14ac:dyDescent="0.35">
      <c r="D6" s="108"/>
      <c r="O6" s="153" t="s">
        <v>360</v>
      </c>
      <c r="P6" s="153"/>
      <c r="Q6" s="153"/>
      <c r="R6" s="153"/>
      <c r="S6" s="152" t="s">
        <v>362</v>
      </c>
      <c r="T6" s="152"/>
      <c r="V6" s="152" t="s">
        <v>363</v>
      </c>
      <c r="W6" s="152"/>
    </row>
    <row r="7" spans="2:23" ht="15.6" thickBot="1" x14ac:dyDescent="0.35">
      <c r="O7" s="140" t="s">
        <v>350</v>
      </c>
      <c r="P7" s="141" t="s">
        <v>358</v>
      </c>
      <c r="Q7" s="140" t="s">
        <v>350</v>
      </c>
      <c r="R7" s="141" t="s">
        <v>358</v>
      </c>
      <c r="S7" s="142" t="s">
        <v>350</v>
      </c>
      <c r="T7" s="143" t="s">
        <v>359</v>
      </c>
      <c r="V7" s="144" t="s">
        <v>350</v>
      </c>
      <c r="W7" s="145" t="s">
        <v>354</v>
      </c>
    </row>
    <row r="8" spans="2:23" ht="15.6" thickBot="1" x14ac:dyDescent="0.35">
      <c r="B8" s="148" t="s">
        <v>352</v>
      </c>
      <c r="D8" s="146" t="s">
        <v>350</v>
      </c>
      <c r="E8" s="147" t="s">
        <v>354</v>
      </c>
      <c r="G8" s="4" t="s">
        <v>336</v>
      </c>
      <c r="H8" s="4" t="s">
        <v>353</v>
      </c>
      <c r="M8" s="4" t="s">
        <v>355</v>
      </c>
      <c r="O8" s="124">
        <f>K10</f>
        <v>2.238</v>
      </c>
      <c r="P8" s="125">
        <v>0</v>
      </c>
      <c r="Q8" s="124">
        <f>K10</f>
        <v>2.238</v>
      </c>
      <c r="R8" s="131">
        <f>P9</f>
        <v>5.2871228908740084</v>
      </c>
      <c r="S8" s="124">
        <f>J10</f>
        <v>2.262</v>
      </c>
      <c r="T8" s="132">
        <v>0</v>
      </c>
      <c r="V8" s="113">
        <v>2.2320000000000002</v>
      </c>
      <c r="W8" s="114">
        <f>_xlfn.NORM.DIST(V8,$G$9,$H$9,FALSE)</f>
        <v>0.18603262506738338</v>
      </c>
    </row>
    <row r="9" spans="2:23" x14ac:dyDescent="0.3">
      <c r="B9" s="117">
        <v>2.2610000000000001</v>
      </c>
      <c r="D9" s="124">
        <v>2.2320000000000002</v>
      </c>
      <c r="E9" s="133">
        <f>_xlfn.NORM.DIST(D9,$G$9,$H$9,FALSE)</f>
        <v>0.18603262506738338</v>
      </c>
      <c r="G9" s="118">
        <v>2.25</v>
      </c>
      <c r="H9" s="4">
        <f>STDEVP(B9:B32)</f>
        <v>5.1854497287014047E-3</v>
      </c>
      <c r="J9" s="4" t="s">
        <v>356</v>
      </c>
      <c r="K9" s="4" t="s">
        <v>357</v>
      </c>
      <c r="M9" s="4">
        <v>1.2E-2</v>
      </c>
      <c r="O9" s="119">
        <f>K10</f>
        <v>2.238</v>
      </c>
      <c r="P9" s="121">
        <f t="shared" ref="P9" si="0">_xlfn.NORM.DIST(O9,$G$9,$H$9,FALSE)</f>
        <v>5.2871228908740084</v>
      </c>
      <c r="Q9" s="119">
        <f>K10</f>
        <v>2.238</v>
      </c>
      <c r="R9" s="126">
        <v>80</v>
      </c>
      <c r="S9" s="119">
        <f>K10</f>
        <v>2.238</v>
      </c>
      <c r="T9" s="130">
        <v>0</v>
      </c>
      <c r="V9" s="113">
        <v>2.2334999999999998</v>
      </c>
      <c r="W9" s="114">
        <f t="shared" ref="W9:W31" si="1">_xlfn.NORM.DIST(V9,$G$9,$H$9,FALSE)</f>
        <v>0.48697629695576589</v>
      </c>
    </row>
    <row r="10" spans="2:23" ht="15" x14ac:dyDescent="0.3">
      <c r="B10" s="112">
        <v>2.25</v>
      </c>
      <c r="D10" s="119">
        <v>2.2334999999999998</v>
      </c>
      <c r="E10" s="121">
        <f t="shared" ref="E10:E32" si="2">_xlfn.NORM.DIST(D10,$G$9,$H$9,FALSE)</f>
        <v>0.48697629695576589</v>
      </c>
      <c r="G10" s="108"/>
      <c r="J10" s="4">
        <f>2.25+$M$9</f>
        <v>2.262</v>
      </c>
      <c r="K10" s="4">
        <f>2.25-$M$9</f>
        <v>2.238</v>
      </c>
      <c r="O10" s="119">
        <f>J10</f>
        <v>2.262</v>
      </c>
      <c r="P10" s="120">
        <v>0</v>
      </c>
      <c r="Q10" s="119">
        <f>J10</f>
        <v>2.262</v>
      </c>
      <c r="R10" s="127">
        <f>P11</f>
        <v>5.2871228908740084</v>
      </c>
      <c r="S10" s="119"/>
      <c r="T10" s="130"/>
      <c r="V10" s="113">
        <v>2.2349999999999999</v>
      </c>
      <c r="W10" s="114">
        <f t="shared" si="1"/>
        <v>1.1724268998447906</v>
      </c>
    </row>
    <row r="11" spans="2:23" ht="15" thickBot="1" x14ac:dyDescent="0.35">
      <c r="B11" s="111">
        <v>2.2610000000000001</v>
      </c>
      <c r="D11" s="119">
        <v>2.2349999999999999</v>
      </c>
      <c r="E11" s="121">
        <f t="shared" si="2"/>
        <v>1.1724268998447906</v>
      </c>
      <c r="O11" s="122">
        <f>J10</f>
        <v>2.262</v>
      </c>
      <c r="P11" s="123">
        <f t="shared" ref="P11" si="3">_xlfn.NORM.DIST(O11,$G$9,$H$9,FALSE)</f>
        <v>5.2871228908740084</v>
      </c>
      <c r="Q11" s="122">
        <f>J10</f>
        <v>2.262</v>
      </c>
      <c r="R11" s="128">
        <v>80</v>
      </c>
      <c r="S11" s="122"/>
      <c r="T11" s="129"/>
      <c r="V11" s="113">
        <v>2.2364999999999999</v>
      </c>
      <c r="W11" s="114">
        <f t="shared" si="1"/>
        <v>2.5961092719211312</v>
      </c>
    </row>
    <row r="12" spans="2:23" x14ac:dyDescent="0.3">
      <c r="B12" s="111">
        <v>2.2610000000000001</v>
      </c>
      <c r="D12" s="119">
        <v>2.2364999999999999</v>
      </c>
      <c r="E12" s="121">
        <f t="shared" si="2"/>
        <v>2.5961092719211312</v>
      </c>
      <c r="V12" s="113">
        <v>2.238</v>
      </c>
      <c r="W12" s="114">
        <f t="shared" si="1"/>
        <v>5.2871228908740084</v>
      </c>
    </row>
    <row r="13" spans="2:23" x14ac:dyDescent="0.3">
      <c r="B13" s="112">
        <v>2.25</v>
      </c>
      <c r="D13" s="119">
        <v>2.238</v>
      </c>
      <c r="E13" s="121">
        <f t="shared" si="2"/>
        <v>5.2871228908740084</v>
      </c>
      <c r="V13" s="113"/>
      <c r="W13" s="114"/>
    </row>
    <row r="14" spans="2:23" ht="15" thickBot="1" x14ac:dyDescent="0.35">
      <c r="B14" s="111">
        <v>2.2610000000000001</v>
      </c>
      <c r="D14" s="119">
        <v>2.2395</v>
      </c>
      <c r="E14" s="121">
        <f t="shared" si="2"/>
        <v>9.9031893872086787</v>
      </c>
      <c r="S14" s="152" t="s">
        <v>351</v>
      </c>
      <c r="T14" s="152"/>
      <c r="V14" s="113"/>
      <c r="W14" s="114"/>
    </row>
    <row r="15" spans="2:23" ht="15" thickBot="1" x14ac:dyDescent="0.35">
      <c r="B15" s="111">
        <v>2.2610000000000001</v>
      </c>
      <c r="D15" s="119">
        <v>2.2410000000000001</v>
      </c>
      <c r="E15" s="121">
        <f t="shared" si="2"/>
        <v>17.060431319721484</v>
      </c>
      <c r="S15" s="134" t="s">
        <v>350</v>
      </c>
      <c r="T15" s="135" t="s">
        <v>359</v>
      </c>
      <c r="V15" s="113"/>
      <c r="W15" s="114"/>
    </row>
    <row r="16" spans="2:23" x14ac:dyDescent="0.3">
      <c r="B16" s="112">
        <v>2.25</v>
      </c>
      <c r="D16" s="119">
        <v>2.2425000000000002</v>
      </c>
      <c r="E16" s="121">
        <f t="shared" si="2"/>
        <v>27.031128166510449</v>
      </c>
      <c r="S16" s="124">
        <v>2.25</v>
      </c>
      <c r="T16" s="132">
        <v>0</v>
      </c>
      <c r="V16" s="113"/>
      <c r="W16" s="114"/>
    </row>
    <row r="17" spans="2:23" x14ac:dyDescent="0.3">
      <c r="B17" s="111">
        <v>2.2610000000000001</v>
      </c>
      <c r="D17" s="119">
        <v>2.2440000000000002</v>
      </c>
      <c r="E17" s="121">
        <f t="shared" si="2"/>
        <v>39.391051994157628</v>
      </c>
      <c r="S17" s="119">
        <v>2.25</v>
      </c>
      <c r="T17" s="130">
        <v>80</v>
      </c>
      <c r="V17" s="113"/>
      <c r="W17" s="114"/>
    </row>
    <row r="18" spans="2:23" x14ac:dyDescent="0.3">
      <c r="B18" s="111">
        <v>2.2610000000000001</v>
      </c>
      <c r="D18" s="119">
        <v>2.2454999999999998</v>
      </c>
      <c r="E18" s="121">
        <f t="shared" si="2"/>
        <v>52.79468826396603</v>
      </c>
      <c r="V18" s="113"/>
      <c r="W18" s="114"/>
    </row>
    <row r="19" spans="2:23" ht="15" thickBot="1" x14ac:dyDescent="0.35">
      <c r="B19" s="112">
        <v>2.25</v>
      </c>
      <c r="D19" s="119">
        <v>2.2469999999999999</v>
      </c>
      <c r="E19" s="121">
        <f t="shared" si="2"/>
        <v>65.079187618950272</v>
      </c>
      <c r="S19" s="152" t="s">
        <v>328</v>
      </c>
      <c r="T19" s="152"/>
      <c r="V19" s="113"/>
      <c r="W19" s="114"/>
    </row>
    <row r="20" spans="2:23" ht="15" thickBot="1" x14ac:dyDescent="0.35">
      <c r="B20" s="111">
        <v>2.2610000000000001</v>
      </c>
      <c r="D20" s="119">
        <v>2.2484999999999999</v>
      </c>
      <c r="E20" s="121">
        <f t="shared" si="2"/>
        <v>73.782481722306116</v>
      </c>
      <c r="S20" s="136" t="s">
        <v>350</v>
      </c>
      <c r="T20" s="137" t="s">
        <v>359</v>
      </c>
      <c r="V20" s="113"/>
      <c r="W20" s="114"/>
    </row>
    <row r="21" spans="2:23" x14ac:dyDescent="0.3">
      <c r="B21" s="111">
        <v>2.2610000000000001</v>
      </c>
      <c r="D21" s="119">
        <v>2.25</v>
      </c>
      <c r="E21" s="121">
        <f t="shared" si="2"/>
        <v>76.934943211056847</v>
      </c>
      <c r="S21" s="124">
        <f>TABLA!AI2</f>
        <v>2.2555000000000001</v>
      </c>
      <c r="T21" s="132">
        <v>0</v>
      </c>
      <c r="V21" s="113"/>
      <c r="W21" s="114"/>
    </row>
    <row r="22" spans="2:23" x14ac:dyDescent="0.3">
      <c r="B22" s="112">
        <v>2.25</v>
      </c>
      <c r="D22" s="119">
        <v>2.2515000000000001</v>
      </c>
      <c r="E22" s="121">
        <f t="shared" si="2"/>
        <v>73.782481722306116</v>
      </c>
      <c r="S22" s="124">
        <f>TABLA!AI2</f>
        <v>2.2555000000000001</v>
      </c>
      <c r="T22" s="130">
        <v>80</v>
      </c>
      <c r="V22" s="113"/>
      <c r="W22" s="114"/>
    </row>
    <row r="23" spans="2:23" x14ac:dyDescent="0.3">
      <c r="B23" s="111">
        <v>2.2610000000000001</v>
      </c>
      <c r="D23" s="119">
        <v>2.2529999999999899</v>
      </c>
      <c r="E23" s="121">
        <f t="shared" si="2"/>
        <v>65.079187619024424</v>
      </c>
      <c r="V23" s="113"/>
      <c r="W23" s="114"/>
    </row>
    <row r="24" spans="2:23" ht="15" thickBot="1" x14ac:dyDescent="0.35">
      <c r="B24" s="111">
        <v>2.2610000000000001</v>
      </c>
      <c r="D24" s="119">
        <v>2.25449999999999</v>
      </c>
      <c r="E24" s="121">
        <f t="shared" si="2"/>
        <v>52.794688264056269</v>
      </c>
      <c r="S24" s="152" t="s">
        <v>361</v>
      </c>
      <c r="T24" s="152"/>
      <c r="V24" s="113"/>
      <c r="W24" s="114"/>
    </row>
    <row r="25" spans="2:23" ht="15" thickBot="1" x14ac:dyDescent="0.35">
      <c r="B25" s="112">
        <v>2.25</v>
      </c>
      <c r="D25" s="119">
        <v>2.25599999999999</v>
      </c>
      <c r="E25" s="121">
        <f t="shared" si="2"/>
        <v>39.39105199424349</v>
      </c>
      <c r="S25" s="138" t="s">
        <v>350</v>
      </c>
      <c r="T25" s="139" t="s">
        <v>359</v>
      </c>
      <c r="V25" s="113"/>
      <c r="W25" s="114"/>
    </row>
    <row r="26" spans="2:23" x14ac:dyDescent="0.3">
      <c r="B26" s="111">
        <v>2.2610000000000001</v>
      </c>
      <c r="D26" s="119">
        <v>2.2574999999999901</v>
      </c>
      <c r="E26" s="121">
        <f t="shared" si="2"/>
        <v>27.031128166584104</v>
      </c>
      <c r="S26" s="117">
        <v>2.2610000000000001</v>
      </c>
      <c r="T26" s="132">
        <v>0</v>
      </c>
      <c r="V26" s="113"/>
      <c r="W26" s="114"/>
    </row>
    <row r="27" spans="2:23" x14ac:dyDescent="0.3">
      <c r="B27" s="111">
        <v>2.2610000000000001</v>
      </c>
      <c r="D27" s="119">
        <v>2.2589999999999901</v>
      </c>
      <c r="E27" s="121">
        <f t="shared" si="2"/>
        <v>17.06043131977728</v>
      </c>
      <c r="S27" s="117">
        <v>2.2610000000000001</v>
      </c>
      <c r="T27" s="130">
        <v>80</v>
      </c>
      <c r="V27" s="113"/>
      <c r="W27" s="114"/>
    </row>
    <row r="28" spans="2:23" x14ac:dyDescent="0.3">
      <c r="B28" s="112">
        <v>2.25</v>
      </c>
      <c r="D28" s="119">
        <v>2.2604999999999902</v>
      </c>
      <c r="E28" s="121">
        <f t="shared" si="2"/>
        <v>9.9031893872464583</v>
      </c>
      <c r="V28" s="113">
        <v>2.2619999999999898</v>
      </c>
      <c r="W28" s="114">
        <f t="shared" si="1"/>
        <v>5.2871228908981127</v>
      </c>
    </row>
    <row r="29" spans="2:23" x14ac:dyDescent="0.3">
      <c r="B29" s="111">
        <v>2.2610000000000001</v>
      </c>
      <c r="D29" s="119">
        <v>2.2619999999999898</v>
      </c>
      <c r="E29" s="121">
        <f t="shared" si="2"/>
        <v>5.2871228908981127</v>
      </c>
      <c r="V29" s="113">
        <v>2.2634999999999899</v>
      </c>
      <c r="W29" s="114">
        <f t="shared" si="1"/>
        <v>2.5961092719344427</v>
      </c>
    </row>
    <row r="30" spans="2:23" x14ac:dyDescent="0.3">
      <c r="B30" s="111">
        <v>2.2610000000000001</v>
      </c>
      <c r="D30" s="119">
        <v>2.2634999999999899</v>
      </c>
      <c r="E30" s="121">
        <f t="shared" si="2"/>
        <v>2.5961092719344427</v>
      </c>
      <c r="V30" s="113">
        <v>2.2649999999999899</v>
      </c>
      <c r="W30" s="114">
        <f t="shared" si="1"/>
        <v>1.1724268998514717</v>
      </c>
    </row>
    <row r="31" spans="2:23" ht="15" thickBot="1" x14ac:dyDescent="0.35">
      <c r="B31" s="112">
        <v>2.25</v>
      </c>
      <c r="D31" s="119">
        <v>2.2649999999999899</v>
      </c>
      <c r="E31" s="121">
        <f t="shared" si="2"/>
        <v>1.1724268998514717</v>
      </c>
      <c r="V31" s="115">
        <v>2.26649999999999</v>
      </c>
      <c r="W31" s="116">
        <f t="shared" si="1"/>
        <v>0.48697629695881778</v>
      </c>
    </row>
    <row r="32" spans="2:23" ht="15" thickBot="1" x14ac:dyDescent="0.35">
      <c r="B32" s="111">
        <v>2.2610000000000001</v>
      </c>
      <c r="D32" s="122">
        <v>2.26649999999999</v>
      </c>
      <c r="E32" s="123">
        <f t="shared" si="2"/>
        <v>0.48697629695881778</v>
      </c>
    </row>
  </sheetData>
  <mergeCells count="6">
    <mergeCell ref="V6:W6"/>
    <mergeCell ref="O6:R6"/>
    <mergeCell ref="S14:T14"/>
    <mergeCell ref="S19:T19"/>
    <mergeCell ref="S24:T24"/>
    <mergeCell ref="S6:T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4AD56-F220-44BA-B628-0156EEFDF2E4}">
  <sheetPr codeName="Sheet2">
    <tabColor theme="3" tint="0.749992370372631"/>
  </sheetPr>
  <dimension ref="A1:N119"/>
  <sheetViews>
    <sheetView tabSelected="1" zoomScaleNormal="100" workbookViewId="0">
      <selection activeCell="C109" sqref="C109:D109"/>
    </sheetView>
  </sheetViews>
  <sheetFormatPr defaultRowHeight="14.4" x14ac:dyDescent="0.3"/>
  <cols>
    <col min="2" max="2" width="35.88671875" customWidth="1"/>
    <col min="3" max="3" width="8.88671875" customWidth="1"/>
    <col min="14" max="14" width="17.5546875" customWidth="1"/>
  </cols>
  <sheetData>
    <row r="1" spans="1:14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</row>
    <row r="2" spans="1:14" x14ac:dyDescent="0.3">
      <c r="A2" s="3"/>
      <c r="B2" s="4" t="s">
        <v>10</v>
      </c>
      <c r="C2" s="17">
        <v>1.75</v>
      </c>
      <c r="D2" s="6">
        <v>1.375</v>
      </c>
      <c r="E2" s="5">
        <v>0.28499999999999998</v>
      </c>
      <c r="F2" s="5">
        <v>0.57999999999999996</v>
      </c>
      <c r="G2" s="5" t="s">
        <v>11</v>
      </c>
      <c r="H2" s="5" t="s">
        <v>11</v>
      </c>
      <c r="I2" s="5" t="s">
        <v>11</v>
      </c>
      <c r="J2" s="5" t="s">
        <v>11</v>
      </c>
      <c r="K2" s="5" t="s">
        <v>11</v>
      </c>
      <c r="M2" s="7"/>
      <c r="N2" s="154" t="s">
        <v>12</v>
      </c>
    </row>
    <row r="3" spans="1:14" x14ac:dyDescent="0.3">
      <c r="A3" s="8"/>
      <c r="B3" s="4" t="s">
        <v>76</v>
      </c>
      <c r="C3" s="5">
        <v>1.948</v>
      </c>
      <c r="D3" s="9">
        <v>1.82</v>
      </c>
      <c r="E3" s="5">
        <v>1.375</v>
      </c>
      <c r="F3" s="9">
        <v>0.25</v>
      </c>
      <c r="G3" s="9">
        <v>0.75</v>
      </c>
      <c r="H3" s="5">
        <v>0.754</v>
      </c>
      <c r="I3" s="5" t="s">
        <v>11</v>
      </c>
      <c r="J3" s="5" t="s">
        <v>11</v>
      </c>
      <c r="K3" s="5" t="s">
        <v>11</v>
      </c>
      <c r="M3" s="7"/>
      <c r="N3" s="154"/>
    </row>
    <row r="4" spans="1:14" x14ac:dyDescent="0.3">
      <c r="A4" s="10"/>
      <c r="B4" s="4" t="s">
        <v>284</v>
      </c>
      <c r="C4" s="9">
        <v>4.4800000000000004</v>
      </c>
      <c r="D4" s="5">
        <v>1.3979999999999999</v>
      </c>
      <c r="E4" s="17">
        <v>0.375</v>
      </c>
      <c r="F4" s="17">
        <v>0.625</v>
      </c>
      <c r="G4" s="17">
        <v>2.75</v>
      </c>
      <c r="H4" s="17">
        <v>0.5</v>
      </c>
      <c r="I4" s="5">
        <v>2</v>
      </c>
      <c r="J4" s="5">
        <v>1.3979999999999999</v>
      </c>
      <c r="K4" s="17">
        <v>1.625</v>
      </c>
    </row>
    <row r="5" spans="1:14" x14ac:dyDescent="0.3">
      <c r="B5" s="4" t="s">
        <v>13</v>
      </c>
      <c r="C5" s="5">
        <v>5.2759999999999998</v>
      </c>
      <c r="D5" s="5">
        <v>1.111</v>
      </c>
      <c r="E5" s="5" t="s">
        <v>11</v>
      </c>
      <c r="F5" s="5" t="s">
        <v>11</v>
      </c>
      <c r="G5" s="5" t="s">
        <v>11</v>
      </c>
      <c r="H5" s="5" t="s">
        <v>11</v>
      </c>
      <c r="I5" s="5" t="s">
        <v>11</v>
      </c>
      <c r="J5" s="5" t="s">
        <v>11</v>
      </c>
      <c r="K5" s="5" t="s">
        <v>11</v>
      </c>
      <c r="M5" s="8"/>
      <c r="N5" s="154" t="s">
        <v>14</v>
      </c>
    </row>
    <row r="6" spans="1:14" x14ac:dyDescent="0.3">
      <c r="B6" s="4" t="s">
        <v>15</v>
      </c>
      <c r="C6" s="5">
        <v>6.38</v>
      </c>
      <c r="D6" s="23">
        <v>1.1875</v>
      </c>
      <c r="E6" s="5" t="s">
        <v>11</v>
      </c>
      <c r="F6" s="5" t="s">
        <v>11</v>
      </c>
      <c r="G6" s="5" t="s">
        <v>11</v>
      </c>
      <c r="H6" s="5" t="s">
        <v>11</v>
      </c>
      <c r="I6" s="5" t="s">
        <v>11</v>
      </c>
      <c r="J6" s="5" t="s">
        <v>11</v>
      </c>
      <c r="K6" s="5" t="s">
        <v>11</v>
      </c>
      <c r="M6" s="8"/>
      <c r="N6" s="154"/>
    </row>
    <row r="7" spans="1:14" x14ac:dyDescent="0.3">
      <c r="B7" s="4" t="s">
        <v>16</v>
      </c>
      <c r="C7" s="5">
        <v>5.01</v>
      </c>
      <c r="D7" s="5">
        <v>1.1870000000000001</v>
      </c>
      <c r="E7" s="5" t="s">
        <v>11</v>
      </c>
      <c r="F7" s="5" t="s">
        <v>11</v>
      </c>
      <c r="G7" s="5" t="s">
        <v>11</v>
      </c>
      <c r="H7" s="5" t="s">
        <v>11</v>
      </c>
      <c r="I7" s="5" t="s">
        <v>11</v>
      </c>
      <c r="J7" s="5" t="s">
        <v>11</v>
      </c>
      <c r="K7" s="5" t="s">
        <v>11</v>
      </c>
    </row>
    <row r="8" spans="1:14" x14ac:dyDescent="0.3">
      <c r="B8" s="4" t="s">
        <v>285</v>
      </c>
      <c r="C8" s="5">
        <v>12.24</v>
      </c>
      <c r="D8" s="17">
        <v>1.25</v>
      </c>
      <c r="E8" s="5" t="s">
        <v>11</v>
      </c>
      <c r="F8" s="5" t="s">
        <v>11</v>
      </c>
      <c r="G8" s="5" t="s">
        <v>11</v>
      </c>
      <c r="H8" s="5" t="s">
        <v>11</v>
      </c>
      <c r="I8" s="5" t="s">
        <v>11</v>
      </c>
      <c r="J8" s="5" t="s">
        <v>11</v>
      </c>
      <c r="K8" s="5" t="s">
        <v>11</v>
      </c>
      <c r="M8" s="1"/>
      <c r="N8" s="11" t="s">
        <v>17</v>
      </c>
    </row>
    <row r="9" spans="1:14" x14ac:dyDescent="0.3">
      <c r="B9" s="4" t="s">
        <v>18</v>
      </c>
      <c r="C9" s="5">
        <v>3.27</v>
      </c>
      <c r="D9" s="5">
        <v>1.1870000000000001</v>
      </c>
      <c r="E9" s="5" t="s">
        <v>11</v>
      </c>
      <c r="F9" s="5" t="s">
        <v>11</v>
      </c>
      <c r="G9" s="5" t="s">
        <v>11</v>
      </c>
      <c r="H9" s="5" t="s">
        <v>11</v>
      </c>
      <c r="I9" s="5" t="s">
        <v>11</v>
      </c>
      <c r="J9" s="5" t="s">
        <v>11</v>
      </c>
      <c r="K9" s="5" t="s">
        <v>11</v>
      </c>
    </row>
    <row r="10" spans="1:14" x14ac:dyDescent="0.3">
      <c r="B10" s="4" t="s">
        <v>19</v>
      </c>
      <c r="C10" s="17">
        <v>3.5</v>
      </c>
      <c r="D10" s="5">
        <v>1.1870000000000001</v>
      </c>
      <c r="E10" s="5" t="s">
        <v>11</v>
      </c>
      <c r="F10" s="5" t="s">
        <v>11</v>
      </c>
      <c r="G10" s="5" t="s">
        <v>11</v>
      </c>
      <c r="H10" s="5" t="s">
        <v>11</v>
      </c>
      <c r="I10" s="5" t="s">
        <v>11</v>
      </c>
      <c r="J10" s="5" t="s">
        <v>11</v>
      </c>
      <c r="K10" s="5" t="s">
        <v>11</v>
      </c>
      <c r="M10" s="12"/>
      <c r="N10" s="11" t="s">
        <v>20</v>
      </c>
    </row>
    <row r="11" spans="1:14" x14ac:dyDescent="0.3">
      <c r="B11" s="4" t="s">
        <v>21</v>
      </c>
      <c r="C11" s="5">
        <v>4.0199999999999996</v>
      </c>
      <c r="D11" s="23">
        <v>1.1875</v>
      </c>
      <c r="E11" s="5" t="s">
        <v>11</v>
      </c>
      <c r="F11" s="5" t="s">
        <v>11</v>
      </c>
      <c r="G11" s="5" t="s">
        <v>11</v>
      </c>
      <c r="H11" s="5" t="s">
        <v>11</v>
      </c>
      <c r="I11" s="5" t="s">
        <v>11</v>
      </c>
      <c r="J11" s="5" t="s">
        <v>11</v>
      </c>
      <c r="K11" s="5" t="s">
        <v>11</v>
      </c>
    </row>
    <row r="12" spans="1:14" x14ac:dyDescent="0.3">
      <c r="A12" s="1"/>
      <c r="B12" s="4" t="s">
        <v>283</v>
      </c>
      <c r="C12" s="5">
        <v>6</v>
      </c>
      <c r="D12" s="17">
        <v>0.625</v>
      </c>
      <c r="E12" s="5" t="s">
        <v>11</v>
      </c>
      <c r="F12" s="5" t="s">
        <v>11</v>
      </c>
      <c r="G12" s="5" t="s">
        <v>11</v>
      </c>
      <c r="H12" s="5" t="s">
        <v>11</v>
      </c>
      <c r="I12" s="5" t="s">
        <v>11</v>
      </c>
      <c r="J12" s="5" t="s">
        <v>11</v>
      </c>
      <c r="K12" s="5" t="s">
        <v>11</v>
      </c>
      <c r="M12" s="13"/>
      <c r="N12" s="154" t="s">
        <v>22</v>
      </c>
    </row>
    <row r="13" spans="1:14" x14ac:dyDescent="0.3">
      <c r="A13" s="12"/>
      <c r="B13" s="4" t="s">
        <v>286</v>
      </c>
      <c r="C13" s="5">
        <v>0.88</v>
      </c>
      <c r="D13" s="5">
        <v>1.0049999999999999</v>
      </c>
      <c r="E13" s="5">
        <v>2.476</v>
      </c>
      <c r="F13" s="17">
        <v>0.25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N13" s="154"/>
    </row>
    <row r="14" spans="1:14" x14ac:dyDescent="0.3">
      <c r="A14" s="12"/>
      <c r="B14" s="4" t="s">
        <v>287</v>
      </c>
      <c r="C14" s="5">
        <v>1.0049999999999999</v>
      </c>
      <c r="D14" s="5">
        <v>0.88</v>
      </c>
      <c r="E14" s="17">
        <v>3.5</v>
      </c>
      <c r="F14" s="17">
        <v>0.25</v>
      </c>
      <c r="G14" s="5" t="s">
        <v>11</v>
      </c>
      <c r="H14" s="5" t="s">
        <v>11</v>
      </c>
      <c r="I14" s="5" t="s">
        <v>11</v>
      </c>
      <c r="J14" s="5" t="s">
        <v>11</v>
      </c>
      <c r="K14" s="5" t="s">
        <v>11</v>
      </c>
    </row>
    <row r="15" spans="1:14" x14ac:dyDescent="0.3">
      <c r="A15" s="12"/>
      <c r="B15" s="4" t="s">
        <v>288</v>
      </c>
      <c r="C15" s="17">
        <v>2.5</v>
      </c>
      <c r="D15" s="5">
        <v>1.252</v>
      </c>
      <c r="E15" s="5">
        <v>1.7749999999999999</v>
      </c>
      <c r="F15" s="5">
        <v>1.996</v>
      </c>
      <c r="G15" s="17">
        <v>2.25</v>
      </c>
      <c r="H15" s="17">
        <v>1.625</v>
      </c>
      <c r="I15" s="23">
        <v>1.46875</v>
      </c>
      <c r="J15" s="5" t="s">
        <v>11</v>
      </c>
      <c r="K15" s="5" t="s">
        <v>11</v>
      </c>
      <c r="M15" s="14"/>
      <c r="N15" s="154" t="s">
        <v>24</v>
      </c>
    </row>
    <row r="16" spans="1:14" x14ac:dyDescent="0.3">
      <c r="B16" s="4" t="s">
        <v>289</v>
      </c>
      <c r="C16" s="5">
        <v>0.88</v>
      </c>
      <c r="D16" s="5">
        <v>2.94</v>
      </c>
      <c r="E16" s="17">
        <v>2.25</v>
      </c>
      <c r="F16" s="17">
        <v>1.75</v>
      </c>
      <c r="G16" s="5">
        <v>2</v>
      </c>
      <c r="H16" s="5">
        <v>0.98</v>
      </c>
      <c r="I16" s="5" t="s">
        <v>11</v>
      </c>
      <c r="J16" s="5" t="s">
        <v>11</v>
      </c>
      <c r="K16" s="5" t="s">
        <v>11</v>
      </c>
      <c r="M16" s="14"/>
      <c r="N16" s="154"/>
    </row>
    <row r="17" spans="1:13" x14ac:dyDescent="0.3">
      <c r="B17" s="4" t="s">
        <v>25</v>
      </c>
      <c r="C17" s="5">
        <v>3.92</v>
      </c>
      <c r="D17" s="5">
        <v>1.8</v>
      </c>
      <c r="E17" s="5">
        <v>2.0499999999999998</v>
      </c>
      <c r="F17" s="15">
        <v>1.4</v>
      </c>
      <c r="G17" s="15">
        <v>2.86</v>
      </c>
      <c r="H17" s="5" t="s">
        <v>11</v>
      </c>
      <c r="I17" s="5" t="s">
        <v>11</v>
      </c>
      <c r="J17" s="5" t="s">
        <v>11</v>
      </c>
      <c r="K17" s="5" t="s">
        <v>11</v>
      </c>
    </row>
    <row r="18" spans="1:13" x14ac:dyDescent="0.3">
      <c r="B18" s="4" t="s">
        <v>290</v>
      </c>
      <c r="C18" s="17">
        <v>2.25</v>
      </c>
      <c r="D18" s="17">
        <v>1.5</v>
      </c>
      <c r="E18" s="5">
        <v>4</v>
      </c>
      <c r="F18" s="17">
        <v>0.5</v>
      </c>
      <c r="G18" s="17">
        <v>0.625</v>
      </c>
      <c r="H18" s="5" t="s">
        <v>11</v>
      </c>
      <c r="I18" s="5" t="s">
        <v>11</v>
      </c>
      <c r="J18" s="5" t="s">
        <v>11</v>
      </c>
      <c r="K18" s="5" t="s">
        <v>11</v>
      </c>
    </row>
    <row r="19" spans="1:13" x14ac:dyDescent="0.3">
      <c r="A19" s="1"/>
      <c r="B19" s="4" t="s">
        <v>291</v>
      </c>
      <c r="C19" s="5">
        <v>2.5</v>
      </c>
      <c r="D19" s="5">
        <v>0.47199999999999998</v>
      </c>
      <c r="E19" s="5">
        <v>0.749</v>
      </c>
      <c r="F19" s="5">
        <v>1.25</v>
      </c>
      <c r="G19" s="5" t="s">
        <v>11</v>
      </c>
      <c r="H19" s="5" t="s">
        <v>11</v>
      </c>
      <c r="I19" s="5" t="s">
        <v>11</v>
      </c>
      <c r="J19" s="5" t="s">
        <v>11</v>
      </c>
      <c r="K19" s="5" t="s">
        <v>11</v>
      </c>
      <c r="M19" s="22" t="s">
        <v>109</v>
      </c>
    </row>
    <row r="20" spans="1:13" x14ac:dyDescent="0.3">
      <c r="A20" s="1"/>
      <c r="B20" s="4" t="s">
        <v>292</v>
      </c>
      <c r="C20" s="17">
        <v>1.5</v>
      </c>
      <c r="D20" s="23">
        <v>2.6875</v>
      </c>
      <c r="E20" s="5">
        <v>0.85</v>
      </c>
      <c r="F20" s="5" t="s">
        <v>11</v>
      </c>
      <c r="G20" s="5" t="s">
        <v>11</v>
      </c>
      <c r="H20" s="5" t="s">
        <v>11</v>
      </c>
      <c r="I20" s="5" t="s">
        <v>11</v>
      </c>
      <c r="J20" s="5" t="s">
        <v>11</v>
      </c>
      <c r="K20" s="5" t="s">
        <v>11</v>
      </c>
    </row>
    <row r="21" spans="1:13" x14ac:dyDescent="0.3">
      <c r="A21" s="1"/>
      <c r="B21" s="4" t="s">
        <v>293</v>
      </c>
      <c r="C21" s="5">
        <v>0.57999999999999996</v>
      </c>
      <c r="D21" s="5">
        <v>3</v>
      </c>
      <c r="E21" s="5">
        <v>1.1399999999999999</v>
      </c>
      <c r="F21" s="5">
        <v>1.998</v>
      </c>
      <c r="G21" s="5">
        <v>0.19</v>
      </c>
      <c r="H21" s="5" t="s">
        <v>11</v>
      </c>
      <c r="I21" s="5" t="s">
        <v>11</v>
      </c>
      <c r="J21" s="5" t="s">
        <v>11</v>
      </c>
      <c r="K21" s="5" t="s">
        <v>11</v>
      </c>
    </row>
    <row r="22" spans="1:13" x14ac:dyDescent="0.3">
      <c r="A22" s="12"/>
      <c r="B22" s="4" t="s">
        <v>294</v>
      </c>
      <c r="C22" s="17">
        <v>1.5</v>
      </c>
      <c r="D22" s="5">
        <v>2</v>
      </c>
      <c r="E22" s="17">
        <v>3.25</v>
      </c>
      <c r="F22" s="17">
        <v>1.375</v>
      </c>
      <c r="G22" s="5" t="s">
        <v>11</v>
      </c>
      <c r="H22" s="5" t="s">
        <v>11</v>
      </c>
      <c r="I22" s="5" t="s">
        <v>11</v>
      </c>
      <c r="J22" s="5" t="s">
        <v>11</v>
      </c>
      <c r="K22" s="5" t="s">
        <v>11</v>
      </c>
    </row>
    <row r="23" spans="1:13" x14ac:dyDescent="0.3">
      <c r="A23" s="1"/>
      <c r="B23" s="4" t="s">
        <v>26</v>
      </c>
      <c r="C23" s="17">
        <v>1.5</v>
      </c>
      <c r="D23" s="23">
        <v>2.6875</v>
      </c>
      <c r="E23" s="5">
        <v>0.57999999999999996</v>
      </c>
      <c r="F23" s="5">
        <v>0.82</v>
      </c>
      <c r="G23" s="5" t="s">
        <v>11</v>
      </c>
      <c r="H23" s="5" t="s">
        <v>11</v>
      </c>
      <c r="I23" s="5" t="s">
        <v>11</v>
      </c>
      <c r="J23" s="5" t="s">
        <v>11</v>
      </c>
      <c r="K23" s="5" t="s">
        <v>11</v>
      </c>
    </row>
    <row r="24" spans="1:13" x14ac:dyDescent="0.3">
      <c r="B24" s="4" t="s">
        <v>295</v>
      </c>
      <c r="C24" s="5">
        <v>2.36</v>
      </c>
      <c r="D24" s="23">
        <v>0.3125</v>
      </c>
      <c r="E24" s="5">
        <v>1.79</v>
      </c>
      <c r="F24" s="17">
        <v>0.5</v>
      </c>
      <c r="G24" s="5" t="s">
        <v>27</v>
      </c>
      <c r="H24" s="5" t="s">
        <v>27</v>
      </c>
      <c r="I24" s="5" t="s">
        <v>27</v>
      </c>
      <c r="J24" s="5" t="s">
        <v>11</v>
      </c>
      <c r="K24" s="5" t="s">
        <v>11</v>
      </c>
    </row>
    <row r="25" spans="1:13" x14ac:dyDescent="0.3">
      <c r="A25" s="12"/>
      <c r="B25" s="4" t="s">
        <v>28</v>
      </c>
      <c r="C25" s="24">
        <v>0.5</v>
      </c>
      <c r="D25" s="15">
        <v>1.35</v>
      </c>
      <c r="E25" s="17">
        <v>0.75</v>
      </c>
      <c r="F25" s="17">
        <v>0.25</v>
      </c>
      <c r="G25" s="17">
        <v>0.125</v>
      </c>
      <c r="H25" s="15">
        <v>1.1000000000000001</v>
      </c>
      <c r="I25" s="5" t="s">
        <v>11</v>
      </c>
      <c r="J25" s="5" t="s">
        <v>11</v>
      </c>
      <c r="K25" s="5" t="s">
        <v>11</v>
      </c>
    </row>
    <row r="26" spans="1:13" x14ac:dyDescent="0.3">
      <c r="A26" s="12"/>
      <c r="B26" s="4" t="s">
        <v>29</v>
      </c>
      <c r="C26" s="24">
        <v>0.5</v>
      </c>
      <c r="D26" s="5">
        <v>4.57</v>
      </c>
      <c r="E26" s="17">
        <v>0.875</v>
      </c>
      <c r="F26" s="17">
        <v>0.75</v>
      </c>
      <c r="G26" s="17">
        <v>0.875</v>
      </c>
      <c r="H26" s="5">
        <v>0.82</v>
      </c>
      <c r="I26" s="5" t="s">
        <v>11</v>
      </c>
      <c r="J26" s="5" t="s">
        <v>11</v>
      </c>
      <c r="K26" s="5" t="s">
        <v>11</v>
      </c>
    </row>
    <row r="27" spans="1:13" x14ac:dyDescent="0.3">
      <c r="B27" s="4" t="s">
        <v>296</v>
      </c>
      <c r="C27" s="5">
        <v>1.1890000000000001</v>
      </c>
      <c r="D27" s="5">
        <v>2</v>
      </c>
      <c r="E27" s="5">
        <v>1</v>
      </c>
      <c r="F27" s="5" t="s">
        <v>11</v>
      </c>
      <c r="G27" s="5" t="s">
        <v>11</v>
      </c>
      <c r="H27" s="5" t="s">
        <v>11</v>
      </c>
      <c r="I27" s="5" t="s">
        <v>11</v>
      </c>
      <c r="J27" s="5" t="s">
        <v>11</v>
      </c>
      <c r="K27" s="5" t="s">
        <v>11</v>
      </c>
    </row>
    <row r="28" spans="1:13" x14ac:dyDescent="0.3">
      <c r="B28" s="4" t="s">
        <v>30</v>
      </c>
      <c r="C28" s="5">
        <v>2</v>
      </c>
      <c r="D28" s="5">
        <v>1.252</v>
      </c>
      <c r="E28" s="5">
        <v>2</v>
      </c>
      <c r="F28" s="5" t="s">
        <v>27</v>
      </c>
      <c r="G28" s="5" t="s">
        <v>27</v>
      </c>
      <c r="H28" s="5" t="s">
        <v>27</v>
      </c>
      <c r="I28" s="5" t="s">
        <v>27</v>
      </c>
      <c r="J28" s="5" t="s">
        <v>11</v>
      </c>
      <c r="K28" s="5" t="s">
        <v>11</v>
      </c>
    </row>
    <row r="29" spans="1:13" x14ac:dyDescent="0.3">
      <c r="B29" s="4" t="s">
        <v>297</v>
      </c>
      <c r="C29" s="5">
        <v>1.1000000000000001</v>
      </c>
      <c r="D29" s="5">
        <v>1.77</v>
      </c>
      <c r="E29" s="5">
        <v>7.99</v>
      </c>
      <c r="F29" s="5" t="s">
        <v>11</v>
      </c>
      <c r="G29" s="5" t="s">
        <v>11</v>
      </c>
      <c r="H29" s="5" t="s">
        <v>11</v>
      </c>
      <c r="I29" s="5" t="s">
        <v>11</v>
      </c>
      <c r="J29" s="5" t="s">
        <v>11</v>
      </c>
      <c r="K29" s="5" t="s">
        <v>11</v>
      </c>
    </row>
    <row r="30" spans="1:13" x14ac:dyDescent="0.3">
      <c r="B30" s="4" t="s">
        <v>298</v>
      </c>
      <c r="C30" s="5">
        <v>0.57999999999999996</v>
      </c>
      <c r="D30" s="5">
        <v>1</v>
      </c>
      <c r="E30" s="17">
        <v>0.875</v>
      </c>
      <c r="F30" s="16" t="s">
        <v>11</v>
      </c>
      <c r="G30" s="5" t="s">
        <v>11</v>
      </c>
      <c r="H30" s="5" t="s">
        <v>11</v>
      </c>
      <c r="I30" s="5" t="s">
        <v>11</v>
      </c>
      <c r="J30" s="5" t="s">
        <v>11</v>
      </c>
      <c r="K30" s="5" t="s">
        <v>11</v>
      </c>
    </row>
    <row r="31" spans="1:13" x14ac:dyDescent="0.3">
      <c r="B31" s="4" t="s">
        <v>299</v>
      </c>
      <c r="C31" s="5">
        <v>1</v>
      </c>
      <c r="D31" s="5">
        <v>2</v>
      </c>
      <c r="E31" s="17">
        <v>1.25</v>
      </c>
      <c r="F31" s="5" t="s">
        <v>27</v>
      </c>
      <c r="G31" s="5" t="s">
        <v>27</v>
      </c>
      <c r="H31" s="5" t="s">
        <v>27</v>
      </c>
      <c r="I31" s="5" t="s">
        <v>27</v>
      </c>
      <c r="J31" s="5" t="s">
        <v>11</v>
      </c>
      <c r="K31" s="5" t="s">
        <v>11</v>
      </c>
    </row>
    <row r="32" spans="1:13" x14ac:dyDescent="0.3">
      <c r="B32" s="4" t="s">
        <v>300</v>
      </c>
      <c r="C32" s="17">
        <v>1.125</v>
      </c>
      <c r="D32" s="17">
        <v>0.625</v>
      </c>
      <c r="E32" s="17">
        <v>0.5</v>
      </c>
      <c r="F32" s="5" t="s">
        <v>114</v>
      </c>
      <c r="G32" s="17">
        <v>0.25</v>
      </c>
      <c r="H32" s="5" t="s">
        <v>11</v>
      </c>
      <c r="I32" s="5" t="s">
        <v>27</v>
      </c>
      <c r="J32" s="5" t="s">
        <v>11</v>
      </c>
      <c r="K32" s="5" t="s">
        <v>11</v>
      </c>
    </row>
    <row r="33" spans="1:11" x14ac:dyDescent="0.3">
      <c r="A33" s="8"/>
      <c r="B33" s="4" t="s">
        <v>75</v>
      </c>
      <c r="C33" s="5">
        <v>2</v>
      </c>
      <c r="D33" s="5" t="s">
        <v>110</v>
      </c>
      <c r="E33" s="5">
        <v>0.5</v>
      </c>
      <c r="F33" s="17">
        <v>2.375</v>
      </c>
      <c r="G33" s="5">
        <v>1.4</v>
      </c>
      <c r="H33" s="5">
        <v>2</v>
      </c>
      <c r="I33" s="5" t="s">
        <v>11</v>
      </c>
      <c r="J33" s="5" t="s">
        <v>11</v>
      </c>
      <c r="K33" s="5" t="s">
        <v>11</v>
      </c>
    </row>
    <row r="34" spans="1:11" x14ac:dyDescent="0.3">
      <c r="B34" s="4" t="s">
        <v>301</v>
      </c>
      <c r="C34" s="17">
        <v>1.75</v>
      </c>
      <c r="D34" s="17">
        <v>1.125</v>
      </c>
      <c r="E34" s="5">
        <v>0.93</v>
      </c>
      <c r="F34" s="5">
        <v>3.2</v>
      </c>
      <c r="G34" s="17">
        <v>0.125</v>
      </c>
      <c r="H34" s="26">
        <v>0.3125</v>
      </c>
      <c r="I34" s="5" t="s">
        <v>11</v>
      </c>
      <c r="J34" s="5" t="s">
        <v>11</v>
      </c>
      <c r="K34" s="5" t="s">
        <v>11</v>
      </c>
    </row>
    <row r="35" spans="1:11" x14ac:dyDescent="0.3">
      <c r="A35" s="7"/>
      <c r="B35" s="4" t="s">
        <v>302</v>
      </c>
      <c r="C35" s="17">
        <v>0.375</v>
      </c>
      <c r="D35" s="17">
        <v>1.5</v>
      </c>
      <c r="E35" s="5">
        <v>0.19700000000000001</v>
      </c>
      <c r="F35" s="5" t="s">
        <v>11</v>
      </c>
      <c r="G35" s="5" t="s">
        <v>11</v>
      </c>
      <c r="H35" s="5" t="s">
        <v>11</v>
      </c>
      <c r="I35" s="5" t="s">
        <v>11</v>
      </c>
      <c r="J35" s="5" t="s">
        <v>11</v>
      </c>
      <c r="K35" s="5" t="s">
        <v>11</v>
      </c>
    </row>
    <row r="36" spans="1:11" x14ac:dyDescent="0.3">
      <c r="B36" s="4" t="s">
        <v>303</v>
      </c>
      <c r="C36" s="5">
        <v>2</v>
      </c>
      <c r="D36" s="5">
        <v>1.252</v>
      </c>
      <c r="E36" s="17">
        <v>1.75</v>
      </c>
      <c r="F36" s="5" t="s">
        <v>11</v>
      </c>
      <c r="G36" s="5" t="s">
        <v>11</v>
      </c>
      <c r="H36" s="5" t="s">
        <v>11</v>
      </c>
      <c r="I36" s="5" t="s">
        <v>11</v>
      </c>
      <c r="J36" s="5" t="s">
        <v>11</v>
      </c>
      <c r="K36" s="5" t="s">
        <v>11</v>
      </c>
    </row>
    <row r="37" spans="1:11" x14ac:dyDescent="0.3">
      <c r="B37" s="4" t="s">
        <v>304</v>
      </c>
      <c r="C37" s="5">
        <v>3</v>
      </c>
      <c r="D37" s="5">
        <v>1.2</v>
      </c>
      <c r="E37" s="5" t="s">
        <v>112</v>
      </c>
      <c r="F37" s="17">
        <v>0.625</v>
      </c>
      <c r="G37" s="17">
        <v>0.5</v>
      </c>
      <c r="H37" s="5" t="s">
        <v>11</v>
      </c>
      <c r="I37" s="5" t="s">
        <v>11</v>
      </c>
      <c r="J37" s="5" t="s">
        <v>11</v>
      </c>
      <c r="K37" s="5" t="s">
        <v>11</v>
      </c>
    </row>
    <row r="38" spans="1:11" x14ac:dyDescent="0.3">
      <c r="B38" s="4" t="s">
        <v>305</v>
      </c>
      <c r="C38" s="5">
        <v>2</v>
      </c>
      <c r="D38" s="5">
        <v>1</v>
      </c>
      <c r="E38" s="17">
        <v>1.5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</row>
    <row r="39" spans="1:11" x14ac:dyDescent="0.3">
      <c r="A39" s="12"/>
      <c r="B39" s="4" t="s">
        <v>306</v>
      </c>
      <c r="C39" s="5">
        <v>0.752</v>
      </c>
      <c r="D39" s="5">
        <v>1.998</v>
      </c>
      <c r="E39" s="5">
        <v>0.85</v>
      </c>
      <c r="F39" s="17">
        <v>1.375</v>
      </c>
      <c r="G39" s="5">
        <v>0.23499999999999999</v>
      </c>
      <c r="H39" s="17">
        <v>0.75</v>
      </c>
      <c r="I39" s="5" t="s">
        <v>11</v>
      </c>
      <c r="J39" s="5" t="s">
        <v>11</v>
      </c>
      <c r="K39" s="5" t="s">
        <v>11</v>
      </c>
    </row>
    <row r="40" spans="1:11" x14ac:dyDescent="0.3">
      <c r="A40" s="12"/>
      <c r="B40" s="4" t="s">
        <v>31</v>
      </c>
      <c r="C40" s="17">
        <v>0.875</v>
      </c>
      <c r="D40" s="17">
        <v>1.25</v>
      </c>
      <c r="E40" s="17">
        <v>0.5</v>
      </c>
      <c r="F40" s="5" t="s">
        <v>11</v>
      </c>
      <c r="G40" s="5" t="s">
        <v>11</v>
      </c>
      <c r="H40" s="5" t="s">
        <v>11</v>
      </c>
      <c r="I40" s="5" t="s">
        <v>11</v>
      </c>
      <c r="J40" s="5" t="s">
        <v>11</v>
      </c>
      <c r="K40" s="5" t="s">
        <v>11</v>
      </c>
    </row>
    <row r="41" spans="1:11" x14ac:dyDescent="0.3">
      <c r="B41" s="4" t="s">
        <v>307</v>
      </c>
      <c r="C41" s="5">
        <v>1.252</v>
      </c>
      <c r="D41" s="5">
        <v>2</v>
      </c>
      <c r="E41" s="17">
        <v>3.5</v>
      </c>
      <c r="F41" s="5" t="s">
        <v>11</v>
      </c>
      <c r="G41" s="5" t="s">
        <v>11</v>
      </c>
      <c r="H41" s="5" t="s">
        <v>11</v>
      </c>
      <c r="I41" s="5" t="s">
        <v>11</v>
      </c>
      <c r="J41" s="5" t="s">
        <v>11</v>
      </c>
      <c r="K41" s="5" t="s">
        <v>11</v>
      </c>
    </row>
    <row r="42" spans="1:11" x14ac:dyDescent="0.3">
      <c r="B42" s="4" t="s">
        <v>32</v>
      </c>
      <c r="C42" s="17">
        <v>1.25</v>
      </c>
      <c r="D42" s="23">
        <v>0.21875</v>
      </c>
      <c r="E42" s="15" t="s">
        <v>113</v>
      </c>
      <c r="F42" s="5">
        <v>1.83</v>
      </c>
      <c r="G42" s="23">
        <v>0.4375</v>
      </c>
      <c r="H42" s="5" t="s">
        <v>11</v>
      </c>
      <c r="I42" s="5" t="s">
        <v>11</v>
      </c>
      <c r="J42" s="5" t="s">
        <v>11</v>
      </c>
      <c r="K42" s="5" t="s">
        <v>11</v>
      </c>
    </row>
    <row r="43" spans="1:11" x14ac:dyDescent="0.3">
      <c r="A43" s="13"/>
      <c r="B43" s="4" t="s">
        <v>33</v>
      </c>
      <c r="C43" s="17">
        <v>0.875</v>
      </c>
      <c r="D43" s="5">
        <v>0.65900000000000003</v>
      </c>
      <c r="E43" s="15">
        <v>445</v>
      </c>
      <c r="F43" s="5" t="s">
        <v>11</v>
      </c>
      <c r="G43" s="5" t="s">
        <v>11</v>
      </c>
      <c r="H43" s="5" t="s">
        <v>11</v>
      </c>
      <c r="I43" s="5" t="s">
        <v>11</v>
      </c>
      <c r="J43" s="5" t="s">
        <v>11</v>
      </c>
      <c r="K43" s="5" t="s">
        <v>11</v>
      </c>
    </row>
    <row r="44" spans="1:11" x14ac:dyDescent="0.3">
      <c r="B44" s="4" t="s">
        <v>34</v>
      </c>
      <c r="C44" s="17">
        <v>1.25</v>
      </c>
      <c r="D44" s="17">
        <v>0.75</v>
      </c>
      <c r="E44" s="17">
        <v>0.5</v>
      </c>
      <c r="F44" s="5" t="s">
        <v>11</v>
      </c>
      <c r="G44" s="5" t="s">
        <v>11</v>
      </c>
      <c r="H44" s="5" t="s">
        <v>11</v>
      </c>
      <c r="I44" s="5" t="s">
        <v>11</v>
      </c>
      <c r="J44" s="5" t="s">
        <v>11</v>
      </c>
      <c r="K44" s="5" t="s">
        <v>11</v>
      </c>
    </row>
    <row r="45" spans="1:11" x14ac:dyDescent="0.3">
      <c r="B45" s="4" t="s">
        <v>35</v>
      </c>
      <c r="C45" s="17">
        <v>2.25</v>
      </c>
      <c r="D45" s="5" t="s">
        <v>111</v>
      </c>
      <c r="E45" s="17">
        <v>0.5</v>
      </c>
      <c r="F45" s="5" t="s">
        <v>11</v>
      </c>
      <c r="G45" s="5" t="s">
        <v>11</v>
      </c>
      <c r="H45" s="5" t="s">
        <v>11</v>
      </c>
      <c r="I45" s="5" t="s">
        <v>11</v>
      </c>
      <c r="J45" s="5" t="s">
        <v>11</v>
      </c>
      <c r="K45" s="5" t="s">
        <v>11</v>
      </c>
    </row>
    <row r="46" spans="1:11" x14ac:dyDescent="0.3">
      <c r="B46" s="4" t="s">
        <v>36</v>
      </c>
      <c r="C46" s="17">
        <v>4.5</v>
      </c>
      <c r="D46" s="5">
        <v>4</v>
      </c>
      <c r="E46" s="5">
        <v>10</v>
      </c>
      <c r="F46" s="5" t="s">
        <v>11</v>
      </c>
      <c r="G46" s="5" t="s">
        <v>11</v>
      </c>
      <c r="H46" s="5" t="s">
        <v>11</v>
      </c>
      <c r="I46" s="5" t="s">
        <v>11</v>
      </c>
      <c r="J46" s="5" t="s">
        <v>11</v>
      </c>
      <c r="K46" s="5" t="s">
        <v>11</v>
      </c>
    </row>
    <row r="47" spans="1:11" x14ac:dyDescent="0.3">
      <c r="B47" s="4" t="s">
        <v>37</v>
      </c>
      <c r="C47" s="5">
        <v>6.1779999999999999</v>
      </c>
      <c r="D47" s="5">
        <v>0.42499999999999999</v>
      </c>
      <c r="E47" s="23">
        <v>5.6875</v>
      </c>
      <c r="F47" s="17">
        <v>0.25</v>
      </c>
      <c r="G47" s="17">
        <v>1.5</v>
      </c>
      <c r="H47" s="5">
        <v>12.54</v>
      </c>
      <c r="I47" s="5">
        <v>1.81</v>
      </c>
      <c r="J47" s="5" t="s">
        <v>23</v>
      </c>
      <c r="K47" s="5" t="s">
        <v>11</v>
      </c>
    </row>
    <row r="48" spans="1:11" x14ac:dyDescent="0.3">
      <c r="B48" s="4" t="s">
        <v>38</v>
      </c>
      <c r="C48" s="17">
        <v>1.5</v>
      </c>
      <c r="D48" s="17">
        <v>0.75</v>
      </c>
      <c r="E48" s="5">
        <v>1</v>
      </c>
      <c r="F48" s="23">
        <v>4.1875</v>
      </c>
      <c r="G48" s="5" t="s">
        <v>11</v>
      </c>
      <c r="H48" s="5" t="s">
        <v>11</v>
      </c>
      <c r="I48" s="5" t="s">
        <v>11</v>
      </c>
      <c r="J48" s="5" t="s">
        <v>11</v>
      </c>
      <c r="K48" s="5" t="s">
        <v>11</v>
      </c>
    </row>
    <row r="49" spans="1:11" x14ac:dyDescent="0.3">
      <c r="B49" s="4" t="s">
        <v>39</v>
      </c>
      <c r="C49" s="17">
        <v>1.5</v>
      </c>
      <c r="D49" s="17">
        <v>0.75</v>
      </c>
      <c r="E49" s="17">
        <v>2.375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</row>
    <row r="50" spans="1:11" x14ac:dyDescent="0.3">
      <c r="B50" s="4" t="s">
        <v>40</v>
      </c>
      <c r="C50" s="5">
        <v>1.5049999999999999</v>
      </c>
      <c r="D50" s="5">
        <v>1.2549999999999999</v>
      </c>
      <c r="E50" s="5">
        <v>1</v>
      </c>
      <c r="F50" s="5" t="s">
        <v>11</v>
      </c>
      <c r="G50" s="5" t="s">
        <v>11</v>
      </c>
      <c r="H50" s="5" t="s">
        <v>11</v>
      </c>
      <c r="I50" s="5" t="s">
        <v>11</v>
      </c>
      <c r="J50" s="5" t="s">
        <v>11</v>
      </c>
      <c r="K50" s="5" t="s">
        <v>11</v>
      </c>
    </row>
    <row r="51" spans="1:11" x14ac:dyDescent="0.3">
      <c r="B51" s="4" t="s">
        <v>41</v>
      </c>
      <c r="C51" s="5">
        <v>2</v>
      </c>
      <c r="D51" s="5">
        <v>1.252</v>
      </c>
      <c r="E51" s="17">
        <v>2.75</v>
      </c>
      <c r="F51" s="5" t="s">
        <v>11</v>
      </c>
      <c r="G51" s="5" t="s">
        <v>11</v>
      </c>
      <c r="H51" s="5" t="s">
        <v>11</v>
      </c>
      <c r="I51" s="5" t="s">
        <v>11</v>
      </c>
      <c r="J51" s="5" t="s">
        <v>11</v>
      </c>
      <c r="K51" s="5" t="s">
        <v>11</v>
      </c>
    </row>
    <row r="52" spans="1:11" x14ac:dyDescent="0.3">
      <c r="B52" s="4" t="s">
        <v>42</v>
      </c>
      <c r="C52" s="17">
        <v>2.5</v>
      </c>
      <c r="D52" s="5">
        <v>2</v>
      </c>
      <c r="E52" s="17">
        <v>4.75</v>
      </c>
      <c r="F52" s="17">
        <v>2.125</v>
      </c>
      <c r="G52" s="5" t="s">
        <v>11</v>
      </c>
      <c r="H52" s="5" t="s">
        <v>11</v>
      </c>
      <c r="I52" s="5" t="s">
        <v>11</v>
      </c>
      <c r="J52" s="5" t="s">
        <v>11</v>
      </c>
      <c r="K52" s="5" t="s">
        <v>11</v>
      </c>
    </row>
    <row r="53" spans="1:11" x14ac:dyDescent="0.3">
      <c r="B53" s="4" t="s">
        <v>43</v>
      </c>
      <c r="C53" s="17">
        <v>0.875</v>
      </c>
      <c r="D53" s="5">
        <v>0.44</v>
      </c>
      <c r="E53" s="17">
        <v>0.75</v>
      </c>
      <c r="F53" s="5" t="s">
        <v>11</v>
      </c>
      <c r="G53" s="5" t="s">
        <v>11</v>
      </c>
      <c r="H53" s="5" t="s">
        <v>11</v>
      </c>
      <c r="I53" s="5" t="s">
        <v>11</v>
      </c>
      <c r="J53" s="5" t="s">
        <v>11</v>
      </c>
      <c r="K53" s="5" t="s">
        <v>11</v>
      </c>
    </row>
    <row r="54" spans="1:11" x14ac:dyDescent="0.3">
      <c r="B54" s="4" t="s">
        <v>44</v>
      </c>
      <c r="C54" s="5">
        <v>9.7200000000000006</v>
      </c>
      <c r="D54" s="5">
        <v>3.03</v>
      </c>
      <c r="E54" s="5">
        <v>0.87</v>
      </c>
      <c r="F54" s="5">
        <v>1.26</v>
      </c>
      <c r="G54" s="5">
        <v>1.4</v>
      </c>
      <c r="H54" s="5" t="s">
        <v>11</v>
      </c>
      <c r="I54" s="5" t="s">
        <v>27</v>
      </c>
      <c r="J54" s="5" t="s">
        <v>11</v>
      </c>
      <c r="K54" s="5" t="s">
        <v>11</v>
      </c>
    </row>
    <row r="55" spans="1:11" x14ac:dyDescent="0.3">
      <c r="B55" s="4" t="s">
        <v>45</v>
      </c>
      <c r="C55" s="5">
        <v>1.5049999999999999</v>
      </c>
      <c r="D55" s="5">
        <v>0.63</v>
      </c>
      <c r="E55" s="17">
        <v>1.5</v>
      </c>
      <c r="F55" s="5" t="s">
        <v>11</v>
      </c>
      <c r="G55" s="5" t="s">
        <v>11</v>
      </c>
      <c r="H55" s="5" t="s">
        <v>11</v>
      </c>
      <c r="I55" s="5" t="s">
        <v>11</v>
      </c>
      <c r="J55" s="5" t="s">
        <v>11</v>
      </c>
      <c r="K55" s="5" t="s">
        <v>11</v>
      </c>
    </row>
    <row r="56" spans="1:11" x14ac:dyDescent="0.3">
      <c r="B56" s="4" t="s">
        <v>46</v>
      </c>
      <c r="C56" s="5">
        <v>1.0680000000000001</v>
      </c>
      <c r="D56" s="5">
        <v>0.89</v>
      </c>
      <c r="E56" s="17">
        <v>0.375</v>
      </c>
      <c r="F56" s="5" t="s">
        <v>11</v>
      </c>
      <c r="G56" s="5" t="s">
        <v>11</v>
      </c>
      <c r="H56" s="5" t="s">
        <v>11</v>
      </c>
      <c r="I56" s="5" t="s">
        <v>11</v>
      </c>
      <c r="J56" s="5" t="s">
        <v>11</v>
      </c>
      <c r="K56" s="5" t="s">
        <v>11</v>
      </c>
    </row>
    <row r="57" spans="1:11" x14ac:dyDescent="0.3">
      <c r="B57" s="4" t="s">
        <v>47</v>
      </c>
      <c r="C57" s="17">
        <v>2.5</v>
      </c>
      <c r="D57" s="5">
        <v>1.71</v>
      </c>
      <c r="E57" s="17">
        <v>0.75</v>
      </c>
      <c r="F57" s="17">
        <v>4.25</v>
      </c>
      <c r="G57" s="5">
        <v>2.0150000000000001</v>
      </c>
      <c r="H57" s="5">
        <v>3.4830000000000001</v>
      </c>
      <c r="I57" s="5" t="s">
        <v>48</v>
      </c>
      <c r="J57" s="5" t="s">
        <v>27</v>
      </c>
      <c r="K57" s="5" t="s">
        <v>11</v>
      </c>
    </row>
    <row r="58" spans="1:11" x14ac:dyDescent="0.3">
      <c r="A58" s="14"/>
      <c r="B58" s="4" t="s">
        <v>49</v>
      </c>
      <c r="C58" s="17">
        <v>3.5</v>
      </c>
      <c r="D58" s="17">
        <v>2.5</v>
      </c>
      <c r="E58" s="5">
        <v>2.4700000000000002</v>
      </c>
      <c r="F58" s="17">
        <v>0.375</v>
      </c>
      <c r="G58" s="5">
        <v>0.37</v>
      </c>
      <c r="H58" s="5" t="s">
        <v>11</v>
      </c>
      <c r="I58" s="5" t="s">
        <v>11</v>
      </c>
      <c r="J58" s="5" t="s">
        <v>11</v>
      </c>
      <c r="K58" s="5" t="s">
        <v>11</v>
      </c>
    </row>
    <row r="59" spans="1:11" x14ac:dyDescent="0.3">
      <c r="B59" s="4" t="s">
        <v>50</v>
      </c>
      <c r="C59" s="17">
        <v>1.5</v>
      </c>
      <c r="D59" s="17">
        <v>0.625</v>
      </c>
      <c r="E59" s="17">
        <v>2.25</v>
      </c>
      <c r="F59" s="5" t="s">
        <v>11</v>
      </c>
      <c r="G59" s="5" t="s">
        <v>11</v>
      </c>
      <c r="H59" s="5" t="s">
        <v>11</v>
      </c>
      <c r="I59" s="5" t="s">
        <v>11</v>
      </c>
      <c r="J59" s="5" t="s">
        <v>11</v>
      </c>
      <c r="K59" s="5" t="s">
        <v>11</v>
      </c>
    </row>
    <row r="60" spans="1:11" x14ac:dyDescent="0.3">
      <c r="B60" s="4" t="s">
        <v>51</v>
      </c>
      <c r="C60" s="5">
        <v>12.401999999999999</v>
      </c>
      <c r="D60" s="17">
        <v>1.25</v>
      </c>
      <c r="E60" s="17">
        <v>0.625</v>
      </c>
      <c r="F60" s="5">
        <v>4.843</v>
      </c>
      <c r="G60" s="5">
        <v>2.9129999999999998</v>
      </c>
      <c r="H60" s="5" t="s">
        <v>11</v>
      </c>
      <c r="I60" s="5" t="s">
        <v>11</v>
      </c>
      <c r="J60" s="5" t="s">
        <v>11</v>
      </c>
      <c r="K60" s="5" t="s">
        <v>11</v>
      </c>
    </row>
    <row r="61" spans="1:11" x14ac:dyDescent="0.3">
      <c r="B61" s="4" t="s">
        <v>52</v>
      </c>
      <c r="C61" s="17">
        <v>1.25</v>
      </c>
      <c r="D61" s="5">
        <v>10.59</v>
      </c>
      <c r="E61" s="5">
        <v>0.39</v>
      </c>
      <c r="F61" s="5" t="s">
        <v>11</v>
      </c>
      <c r="G61" s="5" t="s">
        <v>11</v>
      </c>
      <c r="H61" s="5" t="s">
        <v>11</v>
      </c>
      <c r="I61" s="5" t="s">
        <v>11</v>
      </c>
      <c r="J61" s="5" t="s">
        <v>11</v>
      </c>
      <c r="K61" s="5" t="s">
        <v>11</v>
      </c>
    </row>
    <row r="62" spans="1:11" x14ac:dyDescent="0.3">
      <c r="A62" s="14"/>
      <c r="B62" s="4" t="s">
        <v>53</v>
      </c>
      <c r="C62" s="17">
        <v>1.25</v>
      </c>
      <c r="D62" s="5">
        <v>10.356</v>
      </c>
      <c r="E62" s="17">
        <v>0.625</v>
      </c>
      <c r="F62" s="5">
        <v>3.7010000000000001</v>
      </c>
      <c r="G62" s="5">
        <v>1.841</v>
      </c>
      <c r="H62" s="5" t="s">
        <v>11</v>
      </c>
      <c r="I62" s="5" t="s">
        <v>11</v>
      </c>
      <c r="J62" s="5" t="s">
        <v>11</v>
      </c>
      <c r="K62" s="5" t="s">
        <v>11</v>
      </c>
    </row>
    <row r="63" spans="1:11" x14ac:dyDescent="0.3">
      <c r="B63" s="4" t="s">
        <v>54</v>
      </c>
      <c r="C63" s="17">
        <v>1.25</v>
      </c>
      <c r="D63" s="23">
        <v>8.6875</v>
      </c>
      <c r="E63" s="5">
        <v>0.39</v>
      </c>
      <c r="F63" s="5" t="s">
        <v>11</v>
      </c>
      <c r="G63" s="5" t="s">
        <v>11</v>
      </c>
      <c r="H63" s="5" t="s">
        <v>11</v>
      </c>
      <c r="I63" s="5" t="s">
        <v>11</v>
      </c>
      <c r="J63" s="5" t="s">
        <v>11</v>
      </c>
      <c r="K63" s="5" t="s">
        <v>11</v>
      </c>
    </row>
    <row r="64" spans="1:11" x14ac:dyDescent="0.3">
      <c r="A64" s="14"/>
      <c r="B64" s="4" t="s">
        <v>55</v>
      </c>
      <c r="C64" s="5"/>
      <c r="D64" s="5"/>
      <c r="E64" s="5"/>
      <c r="F64" s="5"/>
      <c r="G64" s="5"/>
      <c r="H64" s="5"/>
      <c r="I64" s="5"/>
      <c r="J64" s="5"/>
      <c r="K64" s="5"/>
    </row>
    <row r="65" spans="2:11" x14ac:dyDescent="0.3">
      <c r="B65" s="4" t="s">
        <v>56</v>
      </c>
      <c r="C65" s="17">
        <v>1.25</v>
      </c>
      <c r="D65" s="5">
        <v>1</v>
      </c>
      <c r="E65" s="5">
        <v>0.95</v>
      </c>
      <c r="F65" s="5">
        <v>0.45</v>
      </c>
      <c r="G65" s="5" t="s">
        <v>11</v>
      </c>
      <c r="H65" s="5" t="s">
        <v>11</v>
      </c>
      <c r="I65" s="5" t="s">
        <v>11</v>
      </c>
      <c r="J65" s="5" t="s">
        <v>11</v>
      </c>
      <c r="K65" s="5" t="s">
        <v>11</v>
      </c>
    </row>
    <row r="66" spans="2:11" x14ac:dyDescent="0.3">
      <c r="B66" s="4" t="s">
        <v>57</v>
      </c>
      <c r="C66" s="5">
        <v>2</v>
      </c>
      <c r="D66" s="5">
        <v>1.198</v>
      </c>
      <c r="E66" s="5">
        <v>1.69</v>
      </c>
      <c r="F66" s="5">
        <v>0.55400000000000005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</row>
    <row r="67" spans="2:11" x14ac:dyDescent="0.3">
      <c r="B67" s="4" t="s">
        <v>58</v>
      </c>
      <c r="C67" s="17">
        <v>1.625</v>
      </c>
      <c r="D67" s="5">
        <v>1.08</v>
      </c>
      <c r="E67" s="5" t="s">
        <v>11</v>
      </c>
      <c r="F67" s="5" t="s">
        <v>11</v>
      </c>
      <c r="G67" s="5" t="s">
        <v>11</v>
      </c>
      <c r="H67" s="5" t="s">
        <v>11</v>
      </c>
      <c r="I67" s="5" t="s">
        <v>11</v>
      </c>
      <c r="J67" s="5" t="s">
        <v>11</v>
      </c>
      <c r="K67" s="5" t="s">
        <v>11</v>
      </c>
    </row>
    <row r="68" spans="2:11" x14ac:dyDescent="0.3">
      <c r="B68" s="4" t="s">
        <v>59</v>
      </c>
      <c r="C68" s="5">
        <v>1.0680000000000001</v>
      </c>
      <c r="D68" s="5">
        <v>0.443</v>
      </c>
      <c r="E68" s="17">
        <v>0.75</v>
      </c>
      <c r="F68" s="5" t="s">
        <v>11</v>
      </c>
      <c r="G68" s="5" t="s">
        <v>11</v>
      </c>
      <c r="H68" s="5" t="s">
        <v>11</v>
      </c>
      <c r="I68" s="5" t="s">
        <v>11</v>
      </c>
      <c r="J68" s="5" t="s">
        <v>11</v>
      </c>
      <c r="K68" s="5" t="s">
        <v>11</v>
      </c>
    </row>
    <row r="69" spans="2:11" x14ac:dyDescent="0.3">
      <c r="B69" s="4" t="s">
        <v>60</v>
      </c>
      <c r="C69" s="5">
        <v>0.44900000000000001</v>
      </c>
      <c r="D69" s="17">
        <v>0.25</v>
      </c>
      <c r="E69" s="17">
        <v>0.875</v>
      </c>
      <c r="F69" s="17">
        <v>2.5</v>
      </c>
      <c r="G69" s="5">
        <v>30.2</v>
      </c>
      <c r="H69" s="17">
        <v>1.5</v>
      </c>
      <c r="I69" s="5" t="s">
        <v>11</v>
      </c>
      <c r="J69" s="5" t="s">
        <v>11</v>
      </c>
      <c r="K69" s="5" t="s">
        <v>11</v>
      </c>
    </row>
    <row r="70" spans="2:11" x14ac:dyDescent="0.3">
      <c r="B70" s="4" t="s">
        <v>61</v>
      </c>
      <c r="C70" s="5">
        <v>1</v>
      </c>
      <c r="D70" s="5">
        <v>0.83</v>
      </c>
      <c r="E70" s="5">
        <v>1</v>
      </c>
      <c r="F70" s="5" t="s">
        <v>11</v>
      </c>
      <c r="G70" s="5" t="s">
        <v>11</v>
      </c>
      <c r="H70" s="5" t="s">
        <v>11</v>
      </c>
      <c r="I70" s="5" t="s">
        <v>11</v>
      </c>
      <c r="J70" s="5" t="s">
        <v>11</v>
      </c>
      <c r="K70" s="5" t="s">
        <v>11</v>
      </c>
    </row>
    <row r="71" spans="2:11" x14ac:dyDescent="0.3">
      <c r="B71" s="4" t="s">
        <v>62</v>
      </c>
      <c r="C71" s="17">
        <v>3.5</v>
      </c>
      <c r="D71" s="5">
        <v>1.5009999999999999</v>
      </c>
      <c r="E71" s="5">
        <v>3</v>
      </c>
      <c r="F71" s="17">
        <v>3.25</v>
      </c>
      <c r="G71" s="5">
        <v>2.9940000000000002</v>
      </c>
      <c r="H71" s="5">
        <v>2.778</v>
      </c>
      <c r="I71" s="5">
        <v>1.7450000000000001</v>
      </c>
      <c r="J71" s="5" t="s">
        <v>11</v>
      </c>
      <c r="K71" s="5" t="s">
        <v>11</v>
      </c>
    </row>
    <row r="72" spans="2:11" x14ac:dyDescent="0.3">
      <c r="B72" s="4" t="s">
        <v>63</v>
      </c>
      <c r="C72" s="5">
        <v>24.3</v>
      </c>
      <c r="D72" s="5">
        <v>28.19</v>
      </c>
      <c r="E72" s="17">
        <v>0.375</v>
      </c>
      <c r="F72" s="5" t="s">
        <v>11</v>
      </c>
      <c r="G72" s="5" t="s">
        <v>11</v>
      </c>
      <c r="H72" s="5" t="s">
        <v>11</v>
      </c>
      <c r="I72" s="5" t="s">
        <v>11</v>
      </c>
      <c r="J72" s="5" t="s">
        <v>11</v>
      </c>
      <c r="K72" s="5" t="s">
        <v>11</v>
      </c>
    </row>
    <row r="73" spans="2:11" x14ac:dyDescent="0.3">
      <c r="B73" s="4" t="s">
        <v>64</v>
      </c>
      <c r="C73" s="5">
        <v>1.5049999999999999</v>
      </c>
      <c r="D73" s="5">
        <v>1.252</v>
      </c>
      <c r="E73" s="5">
        <v>1.25</v>
      </c>
      <c r="F73" s="5" t="s">
        <v>11</v>
      </c>
      <c r="G73" s="5" t="s">
        <v>11</v>
      </c>
      <c r="H73" s="5" t="s">
        <v>11</v>
      </c>
      <c r="I73" s="5" t="s">
        <v>11</v>
      </c>
      <c r="J73" s="5" t="s">
        <v>11</v>
      </c>
      <c r="K73" s="5" t="s">
        <v>11</v>
      </c>
    </row>
    <row r="74" spans="2:11" x14ac:dyDescent="0.3">
      <c r="B74" s="4" t="s">
        <v>65</v>
      </c>
      <c r="C74" s="5">
        <v>2.1869999999999998</v>
      </c>
      <c r="D74" s="17">
        <v>1.5</v>
      </c>
      <c r="E74" s="17">
        <v>0.625</v>
      </c>
      <c r="F74" s="5">
        <v>4</v>
      </c>
      <c r="G74" s="5">
        <v>2.25</v>
      </c>
      <c r="H74" s="5" t="s">
        <v>11</v>
      </c>
      <c r="I74" s="5" t="s">
        <v>11</v>
      </c>
      <c r="J74" s="5" t="s">
        <v>11</v>
      </c>
      <c r="K74" s="5" t="s">
        <v>11</v>
      </c>
    </row>
    <row r="75" spans="2:11" x14ac:dyDescent="0.3">
      <c r="B75" s="4" t="s">
        <v>66</v>
      </c>
      <c r="C75" s="5">
        <v>2.9350000000000001</v>
      </c>
      <c r="D75" s="5">
        <v>2</v>
      </c>
      <c r="E75" s="17">
        <v>2.25</v>
      </c>
      <c r="F75" s="17">
        <v>1.75</v>
      </c>
      <c r="G75" s="5">
        <v>0.97499999999999998</v>
      </c>
      <c r="H75" s="5" t="s">
        <v>11</v>
      </c>
      <c r="I75" s="5" t="s">
        <v>11</v>
      </c>
      <c r="J75" s="5" t="s">
        <v>11</v>
      </c>
      <c r="K75" s="5" t="s">
        <v>11</v>
      </c>
    </row>
    <row r="76" spans="2:11" x14ac:dyDescent="0.3">
      <c r="B76" s="4" t="s">
        <v>67</v>
      </c>
      <c r="C76" s="17">
        <v>28.5</v>
      </c>
      <c r="D76" s="17">
        <v>3.5</v>
      </c>
      <c r="E76" s="17">
        <v>0.25</v>
      </c>
      <c r="F76" s="5" t="s">
        <v>11</v>
      </c>
      <c r="G76" s="5" t="s">
        <v>11</v>
      </c>
      <c r="H76" s="5" t="s">
        <v>11</v>
      </c>
      <c r="I76" s="5" t="s">
        <v>11</v>
      </c>
      <c r="J76" s="5" t="s">
        <v>11</v>
      </c>
      <c r="K76" s="5" t="s">
        <v>11</v>
      </c>
    </row>
    <row r="77" spans="2:11" x14ac:dyDescent="0.3">
      <c r="B77" s="4" t="s">
        <v>68</v>
      </c>
      <c r="C77" s="5">
        <v>19.774999999999999</v>
      </c>
      <c r="D77" s="5">
        <v>0.375</v>
      </c>
      <c r="E77" s="5">
        <v>15.734</v>
      </c>
      <c r="F77" s="5" t="s">
        <v>11</v>
      </c>
      <c r="G77" s="5" t="s">
        <v>11</v>
      </c>
      <c r="H77" s="5" t="s">
        <v>11</v>
      </c>
      <c r="I77" s="5" t="s">
        <v>11</v>
      </c>
      <c r="J77" s="5" t="s">
        <v>11</v>
      </c>
      <c r="K77" s="5" t="s">
        <v>11</v>
      </c>
    </row>
    <row r="78" spans="2:11" x14ac:dyDescent="0.3">
      <c r="B78" s="4" t="s">
        <v>69</v>
      </c>
      <c r="C78" s="5">
        <v>1.405</v>
      </c>
      <c r="D78" s="23">
        <v>1.1875</v>
      </c>
      <c r="E78" s="17">
        <v>2.375</v>
      </c>
      <c r="F78" s="17">
        <v>0.25</v>
      </c>
      <c r="G78" s="5" t="s">
        <v>11</v>
      </c>
      <c r="H78" s="5" t="s">
        <v>11</v>
      </c>
      <c r="I78" s="5" t="s">
        <v>11</v>
      </c>
      <c r="J78" s="5" t="s">
        <v>11</v>
      </c>
      <c r="K78" s="5" t="s">
        <v>11</v>
      </c>
    </row>
    <row r="79" spans="2:11" x14ac:dyDescent="0.3">
      <c r="B79" s="4" t="s">
        <v>70</v>
      </c>
      <c r="C79" s="5">
        <v>42.32</v>
      </c>
      <c r="D79" s="5">
        <v>24.1</v>
      </c>
      <c r="E79" s="5">
        <v>21.02</v>
      </c>
      <c r="F79" s="5">
        <v>37.380000000000003</v>
      </c>
      <c r="G79" s="5">
        <v>32.229999999999997</v>
      </c>
      <c r="H79" s="5">
        <v>28.74</v>
      </c>
      <c r="I79" s="5" t="s">
        <v>11</v>
      </c>
      <c r="J79" s="5" t="s">
        <v>11</v>
      </c>
      <c r="K79" s="5" t="s">
        <v>11</v>
      </c>
    </row>
    <row r="80" spans="2:11" x14ac:dyDescent="0.3">
      <c r="B80" s="4" t="s">
        <v>71</v>
      </c>
      <c r="C80" s="5">
        <v>21.26</v>
      </c>
      <c r="D80" s="5">
        <v>20.87</v>
      </c>
      <c r="E80" s="5">
        <v>12.2</v>
      </c>
      <c r="F80" s="5">
        <v>19.690000000000001</v>
      </c>
      <c r="G80" s="5">
        <v>8.86</v>
      </c>
      <c r="H80" s="5" t="s">
        <v>11</v>
      </c>
      <c r="I80" s="5" t="s">
        <v>11</v>
      </c>
      <c r="J80" s="5" t="s">
        <v>11</v>
      </c>
      <c r="K80" s="5" t="s">
        <v>11</v>
      </c>
    </row>
    <row r="81" spans="2:11" x14ac:dyDescent="0.3">
      <c r="B81" s="4" t="s">
        <v>72</v>
      </c>
      <c r="C81" s="5">
        <v>9.4499999999999993</v>
      </c>
      <c r="D81" s="5">
        <v>19.48</v>
      </c>
      <c r="E81" s="5">
        <v>4.51</v>
      </c>
      <c r="F81" s="5">
        <v>3.35</v>
      </c>
      <c r="G81" s="5">
        <v>5.48</v>
      </c>
      <c r="H81" s="5" t="s">
        <v>11</v>
      </c>
      <c r="I81" s="5" t="s">
        <v>27</v>
      </c>
      <c r="J81" s="5" t="s">
        <v>11</v>
      </c>
      <c r="K81" s="5" t="s">
        <v>11</v>
      </c>
    </row>
    <row r="82" spans="2:11" x14ac:dyDescent="0.3">
      <c r="B82" s="4" t="s">
        <v>73</v>
      </c>
      <c r="C82" s="5">
        <v>2.5</v>
      </c>
      <c r="D82" s="5">
        <v>1.2509999999999999</v>
      </c>
      <c r="E82" s="5">
        <v>3</v>
      </c>
      <c r="F82" s="5">
        <v>1.778</v>
      </c>
      <c r="G82" s="5">
        <v>1.994</v>
      </c>
      <c r="H82" s="5">
        <v>0.30499999999999999</v>
      </c>
      <c r="I82" s="5">
        <v>1.4950000000000001</v>
      </c>
      <c r="J82" s="5" t="s">
        <v>11</v>
      </c>
      <c r="K82" s="5" t="s">
        <v>11</v>
      </c>
    </row>
    <row r="83" spans="2:11" x14ac:dyDescent="0.3">
      <c r="B83" s="4" t="s">
        <v>74</v>
      </c>
      <c r="C83" s="5">
        <v>6.3</v>
      </c>
      <c r="D83" s="5">
        <v>8.07</v>
      </c>
      <c r="E83" s="5">
        <v>12.99</v>
      </c>
      <c r="F83" s="5">
        <v>1.85</v>
      </c>
      <c r="G83" s="5">
        <v>2.64</v>
      </c>
      <c r="H83" s="5">
        <v>3.35</v>
      </c>
      <c r="I83" s="5" t="s">
        <v>11</v>
      </c>
      <c r="J83" s="5" t="s">
        <v>27</v>
      </c>
      <c r="K83" s="5" t="s">
        <v>11</v>
      </c>
    </row>
    <row r="84" spans="2:11" x14ac:dyDescent="0.3">
      <c r="B84" s="4" t="s">
        <v>75</v>
      </c>
      <c r="C84" s="5">
        <v>2</v>
      </c>
      <c r="D84" s="5">
        <v>3.25</v>
      </c>
      <c r="E84" s="5">
        <v>0.5</v>
      </c>
      <c r="F84" s="5">
        <v>1.375</v>
      </c>
      <c r="G84" s="5" t="s">
        <v>11</v>
      </c>
      <c r="H84" s="5" t="s">
        <v>11</v>
      </c>
      <c r="I84" s="5" t="s">
        <v>11</v>
      </c>
      <c r="J84" s="5" t="s">
        <v>11</v>
      </c>
      <c r="K84" s="5" t="s">
        <v>11</v>
      </c>
    </row>
    <row r="85" spans="2:11" x14ac:dyDescent="0.3">
      <c r="B85" s="4" t="s">
        <v>76</v>
      </c>
      <c r="C85" s="5">
        <v>1.948</v>
      </c>
      <c r="D85" s="5">
        <v>0.76400000000000001</v>
      </c>
      <c r="E85" s="5">
        <v>0.85</v>
      </c>
      <c r="F85" s="5">
        <v>1.875</v>
      </c>
      <c r="G85" s="5">
        <v>0.754</v>
      </c>
      <c r="H85" s="5">
        <v>1.375</v>
      </c>
      <c r="I85" s="5" t="s">
        <v>11</v>
      </c>
      <c r="J85" s="5" t="s">
        <v>11</v>
      </c>
      <c r="K85" s="5" t="s">
        <v>11</v>
      </c>
    </row>
    <row r="86" spans="2:11" x14ac:dyDescent="0.3">
      <c r="B86" s="4" t="s">
        <v>77</v>
      </c>
      <c r="C86" s="17">
        <v>1.5</v>
      </c>
      <c r="D86" s="5">
        <v>0.63</v>
      </c>
      <c r="E86" s="5">
        <v>4</v>
      </c>
      <c r="F86" s="17">
        <v>0.25</v>
      </c>
      <c r="G86" s="5" t="s">
        <v>11</v>
      </c>
      <c r="H86" s="5" t="s">
        <v>11</v>
      </c>
      <c r="I86" s="5" t="s">
        <v>11</v>
      </c>
      <c r="J86" s="5" t="s">
        <v>11</v>
      </c>
      <c r="K86" s="5" t="s">
        <v>11</v>
      </c>
    </row>
    <row r="87" spans="2:11" x14ac:dyDescent="0.3">
      <c r="B87" s="4" t="s">
        <v>78</v>
      </c>
      <c r="C87" s="17">
        <v>3.5</v>
      </c>
      <c r="D87" s="5">
        <v>39.68</v>
      </c>
      <c r="E87" s="17">
        <v>3.25</v>
      </c>
      <c r="F87" s="23">
        <v>1.0625</v>
      </c>
      <c r="G87" s="5" t="s">
        <v>11</v>
      </c>
      <c r="H87" s="5" t="s">
        <v>11</v>
      </c>
      <c r="I87" s="5" t="s">
        <v>11</v>
      </c>
      <c r="J87" s="5" t="s">
        <v>11</v>
      </c>
      <c r="K87" s="5" t="s">
        <v>11</v>
      </c>
    </row>
    <row r="88" spans="2:11" x14ac:dyDescent="0.3">
      <c r="B88" s="4" t="s">
        <v>79</v>
      </c>
      <c r="C88" s="17">
        <v>1.5</v>
      </c>
      <c r="D88" s="17">
        <v>1.125</v>
      </c>
      <c r="E88" s="5">
        <v>1.03</v>
      </c>
      <c r="F88" s="5">
        <v>4</v>
      </c>
      <c r="G88" s="5">
        <v>0.63</v>
      </c>
      <c r="H88" s="5" t="s">
        <v>11</v>
      </c>
      <c r="I88" s="5" t="s">
        <v>11</v>
      </c>
      <c r="J88" s="5" t="s">
        <v>11</v>
      </c>
      <c r="K88" s="5" t="s">
        <v>11</v>
      </c>
    </row>
    <row r="89" spans="2:11" x14ac:dyDescent="0.3">
      <c r="B89" s="4" t="s">
        <v>80</v>
      </c>
      <c r="C89" s="17">
        <v>3.5</v>
      </c>
      <c r="D89" s="5">
        <v>1.5</v>
      </c>
      <c r="E89" s="5">
        <v>2.68</v>
      </c>
      <c r="F89" s="17">
        <v>3.25</v>
      </c>
      <c r="G89" s="17">
        <v>2.75</v>
      </c>
      <c r="H89" s="5">
        <v>2.99</v>
      </c>
      <c r="I89" s="5" t="s">
        <v>11</v>
      </c>
      <c r="J89" s="5" t="s">
        <v>11</v>
      </c>
      <c r="K89" s="5" t="s">
        <v>11</v>
      </c>
    </row>
    <row r="90" spans="2:11" x14ac:dyDescent="0.3">
      <c r="B90" s="4" t="s">
        <v>81</v>
      </c>
      <c r="C90" s="17">
        <v>2.25</v>
      </c>
      <c r="D90" s="17">
        <v>1.375</v>
      </c>
      <c r="E90" s="5">
        <v>3.96</v>
      </c>
      <c r="F90" s="5">
        <v>1.66</v>
      </c>
      <c r="G90" s="25">
        <v>0.5</v>
      </c>
      <c r="H90" s="17">
        <v>1.5</v>
      </c>
      <c r="I90" s="5" t="s">
        <v>11</v>
      </c>
      <c r="J90" s="5" t="s">
        <v>11</v>
      </c>
      <c r="K90" s="5" t="s">
        <v>11</v>
      </c>
    </row>
    <row r="91" spans="2:11" x14ac:dyDescent="0.3">
      <c r="B91" s="4" t="s">
        <v>82</v>
      </c>
      <c r="C91" s="5">
        <v>1</v>
      </c>
      <c r="D91" s="5">
        <v>1</v>
      </c>
      <c r="E91" s="5">
        <v>0.83</v>
      </c>
      <c r="F91" s="5" t="s">
        <v>11</v>
      </c>
      <c r="G91" s="5" t="s">
        <v>11</v>
      </c>
      <c r="H91" s="5" t="s">
        <v>11</v>
      </c>
      <c r="I91" s="5" t="s">
        <v>11</v>
      </c>
      <c r="J91" s="5" t="s">
        <v>11</v>
      </c>
      <c r="K91" s="5" t="s">
        <v>11</v>
      </c>
    </row>
    <row r="92" spans="2:11" x14ac:dyDescent="0.3">
      <c r="B92" s="4" t="s">
        <v>83</v>
      </c>
      <c r="C92" s="17">
        <v>1.5</v>
      </c>
      <c r="D92" s="5">
        <v>40.96</v>
      </c>
      <c r="E92" s="17">
        <v>2.5</v>
      </c>
      <c r="F92" s="17">
        <v>0.875</v>
      </c>
      <c r="G92" s="23">
        <v>0.1875</v>
      </c>
      <c r="H92" s="17">
        <v>0.5</v>
      </c>
      <c r="I92" s="5" t="s">
        <v>11</v>
      </c>
      <c r="J92" s="5" t="s">
        <v>11</v>
      </c>
      <c r="K92" s="5" t="s">
        <v>11</v>
      </c>
    </row>
    <row r="93" spans="2:11" x14ac:dyDescent="0.3">
      <c r="B93" s="4" t="s">
        <v>84</v>
      </c>
      <c r="C93" s="5">
        <v>1.252</v>
      </c>
      <c r="D93" s="5">
        <v>6</v>
      </c>
      <c r="E93" s="23">
        <v>0.1875</v>
      </c>
      <c r="F93" s="5" t="s">
        <v>11</v>
      </c>
      <c r="G93" s="5" t="s">
        <v>11</v>
      </c>
      <c r="H93" s="5" t="s">
        <v>11</v>
      </c>
      <c r="I93" s="5" t="s">
        <v>11</v>
      </c>
      <c r="J93" s="5" t="s">
        <v>11</v>
      </c>
      <c r="K93" s="5" t="s">
        <v>11</v>
      </c>
    </row>
    <row r="94" spans="2:11" x14ac:dyDescent="0.3">
      <c r="B94" s="4" t="s">
        <v>85</v>
      </c>
      <c r="C94" s="17">
        <v>0.75</v>
      </c>
      <c r="D94" s="23">
        <v>0.4375</v>
      </c>
      <c r="E94" s="5">
        <v>1.22</v>
      </c>
      <c r="F94" s="5" t="s">
        <v>11</v>
      </c>
      <c r="G94" s="5" t="s">
        <v>11</v>
      </c>
      <c r="H94" s="5" t="s">
        <v>11</v>
      </c>
      <c r="I94" s="5" t="s">
        <v>11</v>
      </c>
      <c r="J94" s="5" t="s">
        <v>11</v>
      </c>
      <c r="K94" s="5" t="s">
        <v>11</v>
      </c>
    </row>
    <row r="95" spans="2:11" x14ac:dyDescent="0.3">
      <c r="B95" s="4" t="s">
        <v>86</v>
      </c>
      <c r="C95" s="17">
        <v>0.125</v>
      </c>
      <c r="D95" s="5">
        <v>1</v>
      </c>
      <c r="E95" s="5" t="s">
        <v>11</v>
      </c>
      <c r="F95" s="5" t="s">
        <v>11</v>
      </c>
      <c r="G95" s="5" t="s">
        <v>11</v>
      </c>
      <c r="H95" s="5" t="s">
        <v>11</v>
      </c>
      <c r="I95" s="5" t="s">
        <v>11</v>
      </c>
      <c r="J95" s="5" t="s">
        <v>11</v>
      </c>
      <c r="K95" s="5" t="s">
        <v>11</v>
      </c>
    </row>
    <row r="96" spans="2:11" x14ac:dyDescent="0.3">
      <c r="B96" s="4" t="s">
        <v>87</v>
      </c>
      <c r="C96" s="17">
        <v>0.4375</v>
      </c>
      <c r="D96" s="5">
        <v>8.11</v>
      </c>
      <c r="E96" s="17">
        <v>0.75</v>
      </c>
      <c r="F96" s="5" t="s">
        <v>11</v>
      </c>
      <c r="G96" s="5" t="s">
        <v>11</v>
      </c>
      <c r="H96" s="5" t="s">
        <v>11</v>
      </c>
      <c r="I96" s="5" t="s">
        <v>11</v>
      </c>
      <c r="J96" s="5" t="s">
        <v>11</v>
      </c>
      <c r="K96" s="5" t="s">
        <v>11</v>
      </c>
    </row>
    <row r="97" spans="2:11" x14ac:dyDescent="0.3">
      <c r="B97" s="4" t="s">
        <v>88</v>
      </c>
      <c r="C97" s="17">
        <v>0.75</v>
      </c>
      <c r="D97" s="23">
        <v>0.4375</v>
      </c>
      <c r="E97" s="5">
        <v>0.1</v>
      </c>
      <c r="F97" s="5" t="s">
        <v>11</v>
      </c>
      <c r="G97" s="5" t="s">
        <v>11</v>
      </c>
      <c r="H97" s="5" t="s">
        <v>11</v>
      </c>
      <c r="I97" s="5" t="s">
        <v>11</v>
      </c>
      <c r="J97" s="5" t="s">
        <v>11</v>
      </c>
      <c r="K97" s="5" t="s">
        <v>11</v>
      </c>
    </row>
    <row r="98" spans="2:11" x14ac:dyDescent="0.3">
      <c r="B98" s="4" t="s">
        <v>89</v>
      </c>
      <c r="C98" s="23">
        <v>0.4375</v>
      </c>
      <c r="D98" s="23">
        <v>0.4375</v>
      </c>
      <c r="E98" s="17">
        <v>0.75</v>
      </c>
      <c r="F98" s="5" t="s">
        <v>11</v>
      </c>
      <c r="G98" s="5" t="s">
        <v>11</v>
      </c>
      <c r="H98" s="5" t="s">
        <v>11</v>
      </c>
      <c r="I98" s="5" t="s">
        <v>11</v>
      </c>
      <c r="J98" s="5" t="s">
        <v>11</v>
      </c>
      <c r="K98" s="5" t="s">
        <v>11</v>
      </c>
    </row>
    <row r="99" spans="2:11" x14ac:dyDescent="0.3">
      <c r="B99" s="4" t="s">
        <v>90</v>
      </c>
      <c r="C99" s="5">
        <v>1.3</v>
      </c>
      <c r="D99" s="5">
        <v>1</v>
      </c>
      <c r="E99" s="17">
        <v>0.5</v>
      </c>
      <c r="F99" s="5">
        <v>0.9</v>
      </c>
      <c r="G99" s="5">
        <v>2.83</v>
      </c>
      <c r="H99" s="17">
        <v>0.625</v>
      </c>
      <c r="I99" s="5" t="s">
        <v>11</v>
      </c>
      <c r="J99" s="5" t="s">
        <v>11</v>
      </c>
      <c r="K99" s="5" t="s">
        <v>11</v>
      </c>
    </row>
    <row r="100" spans="2:11" x14ac:dyDescent="0.3">
      <c r="B100" s="4" t="s">
        <v>91</v>
      </c>
      <c r="C100" s="5">
        <v>3</v>
      </c>
      <c r="D100" s="17">
        <v>0.625</v>
      </c>
      <c r="E100" s="5">
        <v>1.47</v>
      </c>
      <c r="F100" s="5">
        <v>0.625</v>
      </c>
      <c r="G100" s="17">
        <v>1.5</v>
      </c>
      <c r="H100" s="5" t="s">
        <v>27</v>
      </c>
      <c r="I100" s="5" t="s">
        <v>27</v>
      </c>
      <c r="J100" s="5" t="s">
        <v>27</v>
      </c>
      <c r="K100" s="5" t="s">
        <v>27</v>
      </c>
    </row>
    <row r="101" spans="2:11" x14ac:dyDescent="0.3">
      <c r="B101" s="4" t="s">
        <v>92</v>
      </c>
      <c r="C101" s="5">
        <v>12.44</v>
      </c>
      <c r="D101" s="5">
        <v>14.96</v>
      </c>
      <c r="E101" s="17">
        <v>0.75</v>
      </c>
      <c r="F101" s="23">
        <v>0.6875</v>
      </c>
      <c r="G101" s="17">
        <v>4.5</v>
      </c>
      <c r="H101" s="5" t="s">
        <v>11</v>
      </c>
      <c r="I101" s="5" t="s">
        <v>11</v>
      </c>
      <c r="J101" s="5" t="s">
        <v>11</v>
      </c>
      <c r="K101" s="5" t="s">
        <v>11</v>
      </c>
    </row>
    <row r="102" spans="2:11" x14ac:dyDescent="0.3">
      <c r="B102" s="4" t="s">
        <v>93</v>
      </c>
      <c r="C102" s="5">
        <v>1.3</v>
      </c>
      <c r="D102" s="5">
        <v>1</v>
      </c>
      <c r="E102" s="5">
        <v>1.5</v>
      </c>
      <c r="F102" s="5" t="s">
        <v>11</v>
      </c>
      <c r="G102" s="5" t="s">
        <v>11</v>
      </c>
      <c r="H102" s="5" t="s">
        <v>11</v>
      </c>
      <c r="I102" s="5" t="s">
        <v>11</v>
      </c>
      <c r="J102" s="5" t="s">
        <v>11</v>
      </c>
      <c r="K102" s="5" t="s">
        <v>11</v>
      </c>
    </row>
    <row r="103" spans="2:11" x14ac:dyDescent="0.3">
      <c r="B103" s="4" t="s">
        <v>94</v>
      </c>
      <c r="C103" s="5">
        <v>0.59</v>
      </c>
      <c r="D103" s="17">
        <v>0.625</v>
      </c>
      <c r="E103" s="5" t="s">
        <v>11</v>
      </c>
      <c r="F103" s="5" t="s">
        <v>11</v>
      </c>
      <c r="G103" s="5" t="s">
        <v>11</v>
      </c>
      <c r="H103" s="5" t="s">
        <v>11</v>
      </c>
      <c r="I103" s="5" t="s">
        <v>11</v>
      </c>
      <c r="J103" s="5" t="s">
        <v>11</v>
      </c>
      <c r="K103" s="5" t="s">
        <v>11</v>
      </c>
    </row>
    <row r="104" spans="2:11" x14ac:dyDescent="0.3">
      <c r="B104" s="4" t="s">
        <v>95</v>
      </c>
      <c r="C104" s="5">
        <v>0.86</v>
      </c>
      <c r="D104" s="5">
        <v>1.38</v>
      </c>
      <c r="E104" s="23">
        <v>0.5625</v>
      </c>
      <c r="F104" s="5" t="s">
        <v>11</v>
      </c>
      <c r="G104" s="5" t="s">
        <v>11</v>
      </c>
      <c r="H104" s="5" t="s">
        <v>11</v>
      </c>
      <c r="I104" s="5" t="s">
        <v>11</v>
      </c>
      <c r="J104" s="5" t="s">
        <v>11</v>
      </c>
      <c r="K104" s="5" t="s">
        <v>11</v>
      </c>
    </row>
    <row r="105" spans="2:11" x14ac:dyDescent="0.3">
      <c r="B105" s="4" t="s">
        <v>96</v>
      </c>
      <c r="C105" s="5">
        <v>7.87</v>
      </c>
      <c r="D105" s="17">
        <v>1.5</v>
      </c>
      <c r="E105" s="17">
        <v>1.5</v>
      </c>
      <c r="F105" s="17">
        <v>0.25</v>
      </c>
      <c r="G105" s="17">
        <v>0.25</v>
      </c>
      <c r="H105" s="5" t="s">
        <v>11</v>
      </c>
      <c r="I105" s="5" t="s">
        <v>11</v>
      </c>
      <c r="J105" s="5" t="s">
        <v>11</v>
      </c>
      <c r="K105" s="5" t="s">
        <v>11</v>
      </c>
    </row>
    <row r="106" spans="2:11" x14ac:dyDescent="0.3">
      <c r="B106" s="5" t="s">
        <v>97</v>
      </c>
      <c r="C106" s="5">
        <v>10</v>
      </c>
      <c r="D106" s="17">
        <v>11.25</v>
      </c>
      <c r="E106" s="17">
        <v>1.25</v>
      </c>
      <c r="F106" s="5">
        <v>1.25</v>
      </c>
      <c r="G106" s="5">
        <v>0.75</v>
      </c>
      <c r="H106" s="5">
        <v>1</v>
      </c>
      <c r="I106" s="5" t="s">
        <v>11</v>
      </c>
      <c r="J106" s="5" t="s">
        <v>11</v>
      </c>
      <c r="K106" s="5" t="s">
        <v>11</v>
      </c>
    </row>
    <row r="107" spans="2:11" x14ac:dyDescent="0.3">
      <c r="B107" s="5" t="s">
        <v>98</v>
      </c>
      <c r="C107" s="17">
        <v>1.5</v>
      </c>
      <c r="D107" s="17">
        <v>0.75</v>
      </c>
      <c r="E107" s="23">
        <v>0.3125</v>
      </c>
      <c r="F107" s="5" t="s">
        <v>11</v>
      </c>
      <c r="G107" s="5" t="s">
        <v>11</v>
      </c>
      <c r="H107" s="5" t="s">
        <v>11</v>
      </c>
      <c r="I107" s="5" t="s">
        <v>11</v>
      </c>
      <c r="J107" s="5" t="s">
        <v>11</v>
      </c>
      <c r="K107" s="5" t="s">
        <v>11</v>
      </c>
    </row>
    <row r="108" spans="2:11" x14ac:dyDescent="0.3">
      <c r="B108" s="5" t="s">
        <v>99</v>
      </c>
      <c r="C108" s="17">
        <v>1.25</v>
      </c>
      <c r="D108" s="5">
        <v>0.33</v>
      </c>
      <c r="E108" s="17">
        <v>0.25</v>
      </c>
      <c r="F108" s="5" t="s">
        <v>11</v>
      </c>
      <c r="G108" s="5" t="s">
        <v>11</v>
      </c>
      <c r="H108" s="5" t="s">
        <v>11</v>
      </c>
      <c r="I108" s="5" t="s">
        <v>11</v>
      </c>
      <c r="J108" s="5" t="s">
        <v>11</v>
      </c>
      <c r="K108" s="5" t="s">
        <v>11</v>
      </c>
    </row>
    <row r="109" spans="2:11" x14ac:dyDescent="0.3">
      <c r="B109" s="5" t="s">
        <v>100</v>
      </c>
      <c r="C109" s="5">
        <v>3.94</v>
      </c>
      <c r="D109" s="23">
        <v>0.3125</v>
      </c>
      <c r="E109" s="5">
        <v>1</v>
      </c>
      <c r="F109" s="17">
        <v>1.25</v>
      </c>
      <c r="G109" s="5" t="s">
        <v>11</v>
      </c>
      <c r="H109" s="5" t="s">
        <v>11</v>
      </c>
      <c r="I109" s="5" t="s">
        <v>11</v>
      </c>
      <c r="J109" s="5" t="s">
        <v>11</v>
      </c>
      <c r="K109" s="5" t="s">
        <v>11</v>
      </c>
    </row>
    <row r="110" spans="2:11" x14ac:dyDescent="0.3">
      <c r="B110" s="5" t="s">
        <v>101</v>
      </c>
      <c r="C110" s="5">
        <v>3.56</v>
      </c>
      <c r="D110" s="5">
        <v>25.4</v>
      </c>
      <c r="E110" s="5">
        <v>6.35</v>
      </c>
      <c r="F110" s="5" t="s">
        <v>11</v>
      </c>
      <c r="G110" s="5" t="s">
        <v>11</v>
      </c>
      <c r="H110" s="5" t="s">
        <v>11</v>
      </c>
      <c r="I110" s="5" t="s">
        <v>11</v>
      </c>
      <c r="J110" s="5" t="s">
        <v>11</v>
      </c>
      <c r="K110" s="5" t="s">
        <v>11</v>
      </c>
    </row>
    <row r="111" spans="2:11" x14ac:dyDescent="0.3">
      <c r="B111" s="5" t="s">
        <v>102</v>
      </c>
      <c r="C111" s="5">
        <v>3</v>
      </c>
      <c r="D111" s="5">
        <v>1</v>
      </c>
      <c r="E111" s="5">
        <v>1</v>
      </c>
      <c r="F111" s="5">
        <v>0.53</v>
      </c>
      <c r="G111" s="5">
        <v>1</v>
      </c>
      <c r="H111" s="5">
        <v>3.35</v>
      </c>
      <c r="I111" s="5">
        <v>0.65</v>
      </c>
      <c r="J111" s="5">
        <v>2.57</v>
      </c>
      <c r="K111" s="17">
        <v>0.375</v>
      </c>
    </row>
    <row r="112" spans="2:11" x14ac:dyDescent="0.3">
      <c r="B112" s="5" t="s">
        <v>103</v>
      </c>
      <c r="C112" s="5">
        <v>3.35</v>
      </c>
      <c r="D112" s="5">
        <v>1.26</v>
      </c>
      <c r="E112" s="5">
        <v>0.87</v>
      </c>
      <c r="F112" s="17">
        <v>0.25</v>
      </c>
      <c r="G112" s="5">
        <v>3.03</v>
      </c>
      <c r="H112" s="5" t="s">
        <v>11</v>
      </c>
      <c r="I112" s="5" t="s">
        <v>11</v>
      </c>
      <c r="J112" s="5" t="s">
        <v>11</v>
      </c>
      <c r="K112" s="5" t="s">
        <v>11</v>
      </c>
    </row>
    <row r="113" spans="2:11" x14ac:dyDescent="0.3">
      <c r="B113" s="5" t="s">
        <v>104</v>
      </c>
      <c r="C113" s="5">
        <v>7.95</v>
      </c>
      <c r="D113" s="5">
        <v>1.26</v>
      </c>
      <c r="E113" s="5">
        <v>5.43</v>
      </c>
      <c r="F113" s="5">
        <v>3.03</v>
      </c>
      <c r="G113" s="5">
        <v>0.87</v>
      </c>
      <c r="H113" s="5" t="s">
        <v>11</v>
      </c>
      <c r="I113" s="5" t="s">
        <v>11</v>
      </c>
      <c r="J113" s="5" t="s">
        <v>11</v>
      </c>
      <c r="K113" s="5" t="s">
        <v>11</v>
      </c>
    </row>
    <row r="114" spans="2:11" x14ac:dyDescent="0.3">
      <c r="B114" s="4" t="s">
        <v>105</v>
      </c>
      <c r="C114" s="17">
        <v>1.25</v>
      </c>
      <c r="D114" s="23">
        <v>2.6875</v>
      </c>
      <c r="E114" s="17">
        <v>2.375</v>
      </c>
      <c r="F114" s="5">
        <v>0.67</v>
      </c>
      <c r="G114" s="5">
        <v>0.57999999999999996</v>
      </c>
      <c r="H114" s="5" t="s">
        <v>11</v>
      </c>
      <c r="I114" s="5" t="s">
        <v>11</v>
      </c>
      <c r="J114" s="5" t="s">
        <v>11</v>
      </c>
      <c r="K114" s="5" t="s">
        <v>11</v>
      </c>
    </row>
    <row r="115" spans="2:11" x14ac:dyDescent="0.3">
      <c r="B115" s="5" t="s">
        <v>106</v>
      </c>
      <c r="C115" s="17">
        <v>1.625</v>
      </c>
      <c r="D115" s="17">
        <v>0.75</v>
      </c>
      <c r="E115" s="17">
        <v>1.5</v>
      </c>
      <c r="F115" s="17">
        <v>1.625</v>
      </c>
      <c r="G115" s="17">
        <v>0.75</v>
      </c>
      <c r="H115" s="17">
        <v>1.5</v>
      </c>
      <c r="I115" s="17">
        <v>0.5</v>
      </c>
      <c r="J115" s="5" t="s">
        <v>11</v>
      </c>
      <c r="K115" s="5" t="s">
        <v>11</v>
      </c>
    </row>
    <row r="116" spans="2:11" ht="14.4" customHeight="1" x14ac:dyDescent="0.3">
      <c r="B116" s="18" t="s">
        <v>107</v>
      </c>
      <c r="C116" s="17">
        <v>0.875</v>
      </c>
      <c r="D116" s="17">
        <v>2.375</v>
      </c>
      <c r="E116" s="17">
        <v>1.625</v>
      </c>
      <c r="F116" s="17">
        <v>0.25</v>
      </c>
      <c r="G116" s="5" t="s">
        <v>11</v>
      </c>
      <c r="H116" s="5" t="s">
        <v>11</v>
      </c>
      <c r="I116" s="5" t="s">
        <v>11</v>
      </c>
      <c r="J116" s="5" t="s">
        <v>11</v>
      </c>
      <c r="K116" s="5" t="s">
        <v>11</v>
      </c>
    </row>
    <row r="117" spans="2:11" x14ac:dyDescent="0.3">
      <c r="B117" s="5" t="s">
        <v>108</v>
      </c>
      <c r="C117" s="17">
        <v>0.75</v>
      </c>
      <c r="D117" s="23">
        <v>0.1875</v>
      </c>
      <c r="E117" s="5">
        <v>4.9800000000000004</v>
      </c>
      <c r="F117" s="5" t="s">
        <v>11</v>
      </c>
      <c r="G117" s="5" t="s">
        <v>11</v>
      </c>
      <c r="H117" s="5" t="s">
        <v>11</v>
      </c>
      <c r="I117" s="5" t="s">
        <v>11</v>
      </c>
      <c r="J117" s="5" t="s">
        <v>11</v>
      </c>
      <c r="K117" s="5" t="s">
        <v>11</v>
      </c>
    </row>
    <row r="119" spans="2:11" x14ac:dyDescent="0.3">
      <c r="C119" s="11"/>
      <c r="D119" s="11"/>
      <c r="E119" s="11"/>
      <c r="F119" s="11"/>
      <c r="G119" s="11"/>
      <c r="H119" s="11"/>
      <c r="I119" s="11"/>
      <c r="J119" s="11"/>
      <c r="K119" s="11"/>
    </row>
  </sheetData>
  <sheetProtection formatCells="0" formatColumns="0" formatRows="0" insertColumns="0" insertRows="0" insertHyperlinks="0" deleteColumns="0" deleteRows="0" sort="0" autoFilter="0" pivotTables="0"/>
  <mergeCells count="4">
    <mergeCell ref="N2:N3"/>
    <mergeCell ref="N5:N6"/>
    <mergeCell ref="N12:N13"/>
    <mergeCell ref="N15:N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DCBF7-7A45-484C-9885-CA9D737FF8D1}">
  <sheetPr codeName="Sheet3" filterMode="1">
    <tabColor theme="5" tint="0.59999389629810485"/>
  </sheetPr>
  <dimension ref="B1:N96"/>
  <sheetViews>
    <sheetView workbookViewId="0">
      <selection activeCell="C79" sqref="C79"/>
    </sheetView>
  </sheetViews>
  <sheetFormatPr defaultRowHeight="14.4" x14ac:dyDescent="0.3"/>
  <cols>
    <col min="2" max="2" width="43" customWidth="1"/>
    <col min="14" max="14" width="17.88671875" customWidth="1"/>
  </cols>
  <sheetData>
    <row r="1" spans="2:14" x14ac:dyDescent="0.3">
      <c r="B1" s="2" t="s">
        <v>0</v>
      </c>
      <c r="C1" s="28" t="s">
        <v>1</v>
      </c>
      <c r="D1" s="28" t="s">
        <v>2</v>
      </c>
      <c r="E1" s="28" t="s">
        <v>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</row>
    <row r="2" spans="2:14" hidden="1" x14ac:dyDescent="0.3">
      <c r="B2" s="29" t="s">
        <v>115</v>
      </c>
      <c r="C2" s="30">
        <v>5.12</v>
      </c>
      <c r="D2" s="30">
        <v>3.94</v>
      </c>
      <c r="E2" s="30" t="s">
        <v>240</v>
      </c>
      <c r="F2" s="30" t="s">
        <v>243</v>
      </c>
      <c r="G2" s="30" t="s">
        <v>11</v>
      </c>
      <c r="H2" s="30" t="s">
        <v>11</v>
      </c>
      <c r="I2" s="30" t="s">
        <v>11</v>
      </c>
      <c r="J2" s="30" t="s">
        <v>11</v>
      </c>
      <c r="K2" s="30" t="s">
        <v>11</v>
      </c>
      <c r="M2" s="7"/>
      <c r="N2" s="154" t="s">
        <v>12</v>
      </c>
    </row>
    <row r="3" spans="2:14" hidden="1" x14ac:dyDescent="0.3">
      <c r="B3" s="29" t="s">
        <v>116</v>
      </c>
      <c r="C3" s="30">
        <v>17.739999999999998</v>
      </c>
      <c r="D3" s="30">
        <v>3.59</v>
      </c>
      <c r="E3" s="30" t="s">
        <v>241</v>
      </c>
      <c r="F3" s="30" t="s">
        <v>236</v>
      </c>
      <c r="G3" s="30">
        <v>2.09</v>
      </c>
      <c r="H3" s="30" t="s">
        <v>11</v>
      </c>
      <c r="I3" s="30" t="s">
        <v>11</v>
      </c>
      <c r="J3" s="30" t="s">
        <v>11</v>
      </c>
      <c r="K3" s="30" t="s">
        <v>11</v>
      </c>
      <c r="M3" s="7"/>
      <c r="N3" s="154"/>
    </row>
    <row r="4" spans="2:14" hidden="1" x14ac:dyDescent="0.3">
      <c r="B4" s="29" t="s">
        <v>117</v>
      </c>
      <c r="C4" s="30">
        <v>10.39</v>
      </c>
      <c r="D4" s="30">
        <v>15.18</v>
      </c>
      <c r="E4" s="30">
        <v>3.51</v>
      </c>
      <c r="F4" s="30" t="s">
        <v>243</v>
      </c>
      <c r="G4" s="30" t="s">
        <v>241</v>
      </c>
      <c r="H4" s="30" t="s">
        <v>11</v>
      </c>
      <c r="I4" s="30" t="s">
        <v>11</v>
      </c>
      <c r="J4" s="30" t="s">
        <v>11</v>
      </c>
      <c r="K4" s="30" t="s">
        <v>11</v>
      </c>
    </row>
    <row r="5" spans="2:14" hidden="1" x14ac:dyDescent="0.3">
      <c r="B5" s="29" t="s">
        <v>118</v>
      </c>
      <c r="C5" s="30">
        <v>6.07</v>
      </c>
      <c r="D5" s="30">
        <v>11.81</v>
      </c>
      <c r="E5" s="30" t="s">
        <v>11</v>
      </c>
      <c r="F5" s="30" t="s">
        <v>11</v>
      </c>
      <c r="G5" s="30" t="s">
        <v>11</v>
      </c>
      <c r="H5" s="30" t="s">
        <v>11</v>
      </c>
      <c r="I5" s="30" t="s">
        <v>11</v>
      </c>
      <c r="J5" s="30" t="s">
        <v>11</v>
      </c>
      <c r="K5" s="30" t="s">
        <v>11</v>
      </c>
      <c r="M5" s="8"/>
      <c r="N5" s="154" t="s">
        <v>14</v>
      </c>
    </row>
    <row r="6" spans="2:14" hidden="1" x14ac:dyDescent="0.3">
      <c r="B6" s="29" t="s">
        <v>119</v>
      </c>
      <c r="C6" s="30">
        <v>11.81</v>
      </c>
      <c r="D6" s="30">
        <v>1.77</v>
      </c>
      <c r="E6" s="30">
        <v>3.35</v>
      </c>
      <c r="F6" s="30" t="s">
        <v>236</v>
      </c>
      <c r="G6" s="30" t="s">
        <v>11</v>
      </c>
      <c r="H6" s="30" t="s">
        <v>11</v>
      </c>
      <c r="I6" s="30" t="s">
        <v>11</v>
      </c>
      <c r="J6" s="30" t="s">
        <v>11</v>
      </c>
      <c r="K6" s="30" t="s">
        <v>11</v>
      </c>
      <c r="M6" s="8"/>
      <c r="N6" s="154"/>
    </row>
    <row r="7" spans="2:14" hidden="1" x14ac:dyDescent="0.3">
      <c r="B7" s="29" t="s">
        <v>120</v>
      </c>
      <c r="C7" s="30">
        <v>3.15</v>
      </c>
      <c r="D7" s="30">
        <v>10.7</v>
      </c>
      <c r="E7" s="30">
        <v>6.69</v>
      </c>
      <c r="F7" s="30" t="s">
        <v>11</v>
      </c>
      <c r="G7" s="30" t="s">
        <v>11</v>
      </c>
      <c r="H7" s="30" t="s">
        <v>11</v>
      </c>
      <c r="I7" s="30" t="s">
        <v>11</v>
      </c>
      <c r="J7" s="30" t="s">
        <v>11</v>
      </c>
      <c r="K7" s="30" t="s">
        <v>11</v>
      </c>
    </row>
    <row r="8" spans="2:14" hidden="1" x14ac:dyDescent="0.3">
      <c r="B8" s="29" t="s">
        <v>121</v>
      </c>
      <c r="C8" s="30">
        <v>1.18</v>
      </c>
      <c r="D8" s="30">
        <v>9.84</v>
      </c>
      <c r="E8" s="30">
        <v>3.15</v>
      </c>
      <c r="F8" s="30">
        <v>6.69</v>
      </c>
      <c r="G8" s="30" t="s">
        <v>11</v>
      </c>
      <c r="H8" s="30" t="s">
        <v>11</v>
      </c>
      <c r="I8" s="30" t="s">
        <v>11</v>
      </c>
      <c r="J8" s="30" t="s">
        <v>11</v>
      </c>
      <c r="K8" s="30" t="s">
        <v>11</v>
      </c>
      <c r="M8" s="1"/>
      <c r="N8" s="11" t="s">
        <v>17</v>
      </c>
    </row>
    <row r="9" spans="2:14" hidden="1" x14ac:dyDescent="0.3">
      <c r="B9" s="29" t="s">
        <v>122</v>
      </c>
      <c r="C9" s="30">
        <v>7.48</v>
      </c>
      <c r="D9" s="30">
        <v>7.09</v>
      </c>
      <c r="E9" s="30" t="s">
        <v>242</v>
      </c>
      <c r="F9" s="30" t="s">
        <v>238</v>
      </c>
      <c r="G9" s="30" t="s">
        <v>11</v>
      </c>
      <c r="H9" s="30" t="s">
        <v>11</v>
      </c>
      <c r="I9" s="30" t="s">
        <v>11</v>
      </c>
      <c r="J9" s="30" t="s">
        <v>11</v>
      </c>
      <c r="K9" s="30" t="s">
        <v>11</v>
      </c>
    </row>
    <row r="10" spans="2:14" hidden="1" x14ac:dyDescent="0.3">
      <c r="B10" s="29" t="s">
        <v>123</v>
      </c>
      <c r="C10" s="30">
        <v>7.48</v>
      </c>
      <c r="D10" s="30">
        <v>6.78</v>
      </c>
      <c r="E10" s="30">
        <v>8.89</v>
      </c>
      <c r="F10" s="30" t="s">
        <v>234</v>
      </c>
      <c r="G10" s="30" t="s">
        <v>233</v>
      </c>
      <c r="H10" s="30" t="s">
        <v>11</v>
      </c>
      <c r="I10" s="30" t="s">
        <v>11</v>
      </c>
      <c r="J10" s="30" t="s">
        <v>11</v>
      </c>
      <c r="K10" s="30" t="s">
        <v>11</v>
      </c>
      <c r="M10" s="12"/>
      <c r="N10" s="11" t="s">
        <v>20</v>
      </c>
    </row>
    <row r="11" spans="2:14" hidden="1" x14ac:dyDescent="0.3">
      <c r="B11" s="29" t="s">
        <v>124</v>
      </c>
      <c r="C11" s="30">
        <v>9.7200000000000006</v>
      </c>
      <c r="D11" s="30">
        <v>5.91</v>
      </c>
      <c r="E11" s="30">
        <v>2.36</v>
      </c>
      <c r="F11" s="30" t="s">
        <v>228</v>
      </c>
      <c r="G11" s="30">
        <v>6.83</v>
      </c>
      <c r="H11" s="30" t="s">
        <v>237</v>
      </c>
      <c r="I11" s="30" t="s">
        <v>11</v>
      </c>
      <c r="J11" s="30" t="s">
        <v>11</v>
      </c>
      <c r="K11" s="30" t="s">
        <v>11</v>
      </c>
    </row>
    <row r="12" spans="2:14" hidden="1" x14ac:dyDescent="0.3">
      <c r="B12" s="29" t="s">
        <v>125</v>
      </c>
      <c r="C12" s="30">
        <v>9.7200000000000006</v>
      </c>
      <c r="D12" s="30">
        <v>5.91</v>
      </c>
      <c r="E12" s="30">
        <v>2.36</v>
      </c>
      <c r="F12" s="30" t="s">
        <v>246</v>
      </c>
      <c r="G12" s="30">
        <v>3.81</v>
      </c>
      <c r="H12" s="30" t="s">
        <v>237</v>
      </c>
      <c r="I12" s="30">
        <v>3.86</v>
      </c>
      <c r="J12" s="30" t="s">
        <v>11</v>
      </c>
      <c r="K12" s="30" t="s">
        <v>11</v>
      </c>
      <c r="M12" s="13"/>
      <c r="N12" s="154" t="s">
        <v>22</v>
      </c>
    </row>
    <row r="13" spans="2:14" hidden="1" x14ac:dyDescent="0.3">
      <c r="B13" s="29" t="s">
        <v>126</v>
      </c>
      <c r="C13" s="30">
        <v>2.13</v>
      </c>
      <c r="D13" s="30">
        <v>6.61</v>
      </c>
      <c r="E13" s="30" t="s">
        <v>233</v>
      </c>
      <c r="F13" s="30" t="s">
        <v>11</v>
      </c>
      <c r="G13" s="30" t="s">
        <v>11</v>
      </c>
      <c r="H13" s="30" t="s">
        <v>11</v>
      </c>
      <c r="I13" s="30" t="s">
        <v>11</v>
      </c>
      <c r="J13" s="30" t="s">
        <v>11</v>
      </c>
      <c r="K13" s="30" t="s">
        <v>11</v>
      </c>
      <c r="M13" s="13"/>
      <c r="N13" s="154"/>
    </row>
    <row r="14" spans="2:14" hidden="1" x14ac:dyDescent="0.3">
      <c r="B14" s="29" t="s">
        <v>127</v>
      </c>
      <c r="C14" s="30">
        <v>8.6300000000000008</v>
      </c>
      <c r="D14" s="30">
        <v>6.45</v>
      </c>
      <c r="E14" s="30">
        <v>4.72</v>
      </c>
      <c r="F14" s="30">
        <v>4.8499999999999996</v>
      </c>
      <c r="G14" s="30" t="s">
        <v>11</v>
      </c>
      <c r="H14" s="30" t="s">
        <v>11</v>
      </c>
      <c r="I14" s="30" t="s">
        <v>11</v>
      </c>
      <c r="J14" s="30" t="s">
        <v>11</v>
      </c>
      <c r="K14" s="30" t="s">
        <v>11</v>
      </c>
    </row>
    <row r="15" spans="2:14" hidden="1" x14ac:dyDescent="0.3">
      <c r="B15" s="29" t="s">
        <v>128</v>
      </c>
      <c r="C15" s="30">
        <v>5.6</v>
      </c>
      <c r="D15" s="30">
        <v>1.42</v>
      </c>
      <c r="E15" s="30">
        <v>4.72</v>
      </c>
      <c r="F15" s="30">
        <v>0.39</v>
      </c>
      <c r="G15" s="30">
        <v>1.29</v>
      </c>
      <c r="H15" s="30" t="s">
        <v>11</v>
      </c>
      <c r="I15" s="30" t="s">
        <v>11</v>
      </c>
      <c r="J15" s="30" t="s">
        <v>11</v>
      </c>
      <c r="K15" s="30" t="s">
        <v>11</v>
      </c>
      <c r="M15" s="14"/>
      <c r="N15" s="154" t="s">
        <v>24</v>
      </c>
    </row>
    <row r="16" spans="2:14" hidden="1" x14ac:dyDescent="0.3">
      <c r="B16" s="29" t="s">
        <v>129</v>
      </c>
      <c r="C16" s="30" t="s">
        <v>226</v>
      </c>
      <c r="D16" s="30">
        <v>5.91</v>
      </c>
      <c r="E16" s="30">
        <v>1.1499999999999999</v>
      </c>
      <c r="F16" s="30">
        <v>1.3</v>
      </c>
      <c r="G16" s="30" t="s">
        <v>238</v>
      </c>
      <c r="H16" s="30" t="s">
        <v>11</v>
      </c>
      <c r="I16" s="30" t="s">
        <v>11</v>
      </c>
      <c r="J16" s="30" t="s">
        <v>11</v>
      </c>
      <c r="K16" s="30" t="s">
        <v>11</v>
      </c>
      <c r="M16" s="14"/>
      <c r="N16" s="154"/>
    </row>
    <row r="17" spans="2:11" hidden="1" x14ac:dyDescent="0.3">
      <c r="B17" s="29" t="s">
        <v>130</v>
      </c>
      <c r="C17" s="30">
        <v>6.61</v>
      </c>
      <c r="D17" s="30">
        <v>5.31</v>
      </c>
      <c r="E17" s="30">
        <v>0.39</v>
      </c>
      <c r="F17" s="30" t="s">
        <v>227</v>
      </c>
      <c r="G17" s="30">
        <v>0.51</v>
      </c>
      <c r="H17" s="30" t="s">
        <v>233</v>
      </c>
      <c r="I17" s="30" t="s">
        <v>11</v>
      </c>
      <c r="J17" s="30" t="s">
        <v>11</v>
      </c>
      <c r="K17" s="30" t="s">
        <v>11</v>
      </c>
    </row>
    <row r="18" spans="2:11" hidden="1" x14ac:dyDescent="0.3">
      <c r="B18" s="29" t="s">
        <v>131</v>
      </c>
      <c r="C18" s="30">
        <v>11.561999999999999</v>
      </c>
      <c r="D18" s="30">
        <v>15.747999999999999</v>
      </c>
      <c r="E18" s="30">
        <v>17.323</v>
      </c>
      <c r="F18" s="30" t="s">
        <v>246</v>
      </c>
      <c r="G18" s="30" t="s">
        <v>242</v>
      </c>
      <c r="H18" s="30" t="s">
        <v>243</v>
      </c>
      <c r="I18" s="30" t="s">
        <v>230</v>
      </c>
      <c r="J18" s="30" t="s">
        <v>230</v>
      </c>
      <c r="K18" s="30" t="s">
        <v>11</v>
      </c>
    </row>
    <row r="19" spans="2:11" hidden="1" x14ac:dyDescent="0.3">
      <c r="B19" s="31" t="s">
        <v>132</v>
      </c>
      <c r="C19" s="32">
        <v>1042.3</v>
      </c>
      <c r="D19" s="32">
        <v>118.2</v>
      </c>
      <c r="E19" s="32">
        <v>248</v>
      </c>
      <c r="F19" s="32">
        <v>440</v>
      </c>
      <c r="G19" s="32">
        <v>129.1</v>
      </c>
      <c r="H19" s="32">
        <v>459.1</v>
      </c>
      <c r="I19" s="32">
        <v>195.3</v>
      </c>
      <c r="J19" s="32" t="s">
        <v>11</v>
      </c>
      <c r="K19" s="32" t="s">
        <v>11</v>
      </c>
    </row>
    <row r="20" spans="2:11" hidden="1" x14ac:dyDescent="0.3">
      <c r="B20" s="31" t="s">
        <v>133</v>
      </c>
      <c r="C20" s="32">
        <v>1042.3</v>
      </c>
      <c r="D20" s="32">
        <v>185.3</v>
      </c>
      <c r="E20" s="32">
        <v>430</v>
      </c>
      <c r="F20" s="32">
        <v>665.3</v>
      </c>
      <c r="G20" s="32">
        <v>224.3</v>
      </c>
      <c r="H20" s="32">
        <v>90</v>
      </c>
      <c r="I20" s="32">
        <v>80</v>
      </c>
      <c r="J20" s="32">
        <v>40</v>
      </c>
      <c r="K20" s="32">
        <v>135</v>
      </c>
    </row>
    <row r="21" spans="2:11" hidden="1" x14ac:dyDescent="0.3">
      <c r="B21" s="29" t="s">
        <v>134</v>
      </c>
      <c r="C21" s="30">
        <v>2.95</v>
      </c>
      <c r="D21" s="30">
        <v>3.54</v>
      </c>
      <c r="E21" s="30" t="s">
        <v>243</v>
      </c>
      <c r="F21" s="30">
        <v>0.4</v>
      </c>
      <c r="G21" s="30" t="s">
        <v>236</v>
      </c>
      <c r="H21" s="30" t="s">
        <v>11</v>
      </c>
      <c r="I21" s="30" t="s">
        <v>11</v>
      </c>
      <c r="J21" s="30" t="s">
        <v>11</v>
      </c>
      <c r="K21" s="30" t="s">
        <v>11</v>
      </c>
    </row>
    <row r="22" spans="2:11" hidden="1" x14ac:dyDescent="0.3">
      <c r="B22" s="31" t="s">
        <v>135</v>
      </c>
      <c r="C22" s="32">
        <v>1042</v>
      </c>
      <c r="D22" s="32">
        <v>118.2</v>
      </c>
      <c r="E22" s="32">
        <v>248</v>
      </c>
      <c r="F22" s="32">
        <v>440</v>
      </c>
      <c r="G22" s="32">
        <v>129.1</v>
      </c>
      <c r="H22" s="32">
        <v>459.1</v>
      </c>
      <c r="I22" s="32">
        <v>185</v>
      </c>
      <c r="J22" s="32" t="s">
        <v>11</v>
      </c>
      <c r="K22" s="32" t="s">
        <v>11</v>
      </c>
    </row>
    <row r="23" spans="2:11" hidden="1" x14ac:dyDescent="0.3">
      <c r="B23" s="31" t="s">
        <v>136</v>
      </c>
      <c r="C23" s="32">
        <v>790.54</v>
      </c>
      <c r="D23" s="32">
        <v>40</v>
      </c>
      <c r="E23" s="32">
        <v>135</v>
      </c>
      <c r="F23" s="32">
        <v>185</v>
      </c>
      <c r="G23" s="32">
        <v>430</v>
      </c>
      <c r="H23" s="32">
        <v>1042</v>
      </c>
      <c r="I23" s="32">
        <v>224.3</v>
      </c>
      <c r="J23" s="32">
        <v>80</v>
      </c>
      <c r="K23" s="32">
        <v>160</v>
      </c>
    </row>
    <row r="24" spans="2:11" hidden="1" x14ac:dyDescent="0.3">
      <c r="B24" s="29" t="s">
        <v>137</v>
      </c>
      <c r="C24" s="30">
        <v>4.53</v>
      </c>
      <c r="D24" s="30">
        <v>7.76</v>
      </c>
      <c r="E24" s="30">
        <v>6.04</v>
      </c>
      <c r="F24" s="30" t="s">
        <v>240</v>
      </c>
      <c r="G24" s="30" t="s">
        <v>235</v>
      </c>
      <c r="H24" s="30" t="s">
        <v>234</v>
      </c>
      <c r="I24" s="30" t="s">
        <v>11</v>
      </c>
      <c r="J24" s="30" t="s">
        <v>11</v>
      </c>
      <c r="K24" s="30" t="s">
        <v>11</v>
      </c>
    </row>
    <row r="25" spans="2:11" hidden="1" x14ac:dyDescent="0.3">
      <c r="B25" s="29" t="s">
        <v>138</v>
      </c>
      <c r="C25" s="30">
        <v>28.91</v>
      </c>
      <c r="D25" s="30">
        <v>14.17</v>
      </c>
      <c r="E25" s="30">
        <v>18.5</v>
      </c>
      <c r="F25" s="30">
        <v>3.15</v>
      </c>
      <c r="G25" s="30">
        <v>5.81</v>
      </c>
      <c r="H25" s="30" t="s">
        <v>11</v>
      </c>
      <c r="I25" s="30" t="s">
        <v>11</v>
      </c>
      <c r="J25" s="30" t="s">
        <v>11</v>
      </c>
      <c r="K25" s="30" t="s">
        <v>11</v>
      </c>
    </row>
    <row r="26" spans="2:11" hidden="1" x14ac:dyDescent="0.3">
      <c r="B26" s="29" t="s">
        <v>139</v>
      </c>
      <c r="C26" s="30">
        <v>18.5</v>
      </c>
      <c r="D26" s="30">
        <v>3.15</v>
      </c>
      <c r="E26" s="30">
        <v>17.37</v>
      </c>
      <c r="F26" s="30">
        <v>5.91</v>
      </c>
      <c r="G26" s="30">
        <v>0.94</v>
      </c>
      <c r="H26" s="30">
        <v>14.17</v>
      </c>
      <c r="I26" s="30">
        <v>0.94</v>
      </c>
      <c r="J26" s="30" t="s">
        <v>11</v>
      </c>
      <c r="K26" s="30" t="s">
        <v>11</v>
      </c>
    </row>
    <row r="27" spans="2:11" hidden="1" x14ac:dyDescent="0.3">
      <c r="B27" s="29" t="s">
        <v>140</v>
      </c>
      <c r="C27" s="30">
        <v>18.5</v>
      </c>
      <c r="D27" s="30">
        <v>5.51</v>
      </c>
      <c r="E27" s="30">
        <v>6.1</v>
      </c>
      <c r="F27" s="30">
        <v>5.91</v>
      </c>
      <c r="G27" s="30">
        <v>17.32</v>
      </c>
      <c r="H27" s="30">
        <v>17.52</v>
      </c>
      <c r="I27" s="30">
        <v>5.12</v>
      </c>
      <c r="J27" s="30">
        <v>5.91</v>
      </c>
      <c r="K27" s="30">
        <v>5.12</v>
      </c>
    </row>
    <row r="28" spans="2:11" hidden="1" x14ac:dyDescent="0.3">
      <c r="B28" s="29" t="s">
        <v>141</v>
      </c>
      <c r="C28" s="30">
        <v>15.5</v>
      </c>
      <c r="D28" s="30">
        <v>50.63</v>
      </c>
      <c r="E28" s="30">
        <v>5.12</v>
      </c>
      <c r="F28" s="30">
        <v>11.04</v>
      </c>
      <c r="G28" s="30">
        <v>5.51</v>
      </c>
      <c r="H28" s="30">
        <v>16.940000000000001</v>
      </c>
      <c r="I28" s="30">
        <v>6.89</v>
      </c>
      <c r="J28" s="30" t="s">
        <v>11</v>
      </c>
      <c r="K28" s="30" t="s">
        <v>11</v>
      </c>
    </row>
    <row r="29" spans="2:11" hidden="1" x14ac:dyDescent="0.3">
      <c r="B29" s="29" t="s">
        <v>142</v>
      </c>
      <c r="C29" s="30">
        <v>5.12</v>
      </c>
      <c r="D29" s="30">
        <v>6.86</v>
      </c>
      <c r="E29" s="30" t="s">
        <v>11</v>
      </c>
      <c r="F29" s="30" t="s">
        <v>11</v>
      </c>
      <c r="G29" s="30" t="s">
        <v>11</v>
      </c>
      <c r="H29" s="30" t="s">
        <v>11</v>
      </c>
      <c r="I29" s="30" t="s">
        <v>11</v>
      </c>
      <c r="J29" s="30" t="s">
        <v>11</v>
      </c>
      <c r="K29" s="30" t="s">
        <v>11</v>
      </c>
    </row>
    <row r="30" spans="2:11" hidden="1" x14ac:dyDescent="0.3">
      <c r="B30" s="29" t="s">
        <v>143</v>
      </c>
      <c r="C30" s="30">
        <v>5.12</v>
      </c>
      <c r="D30" s="30">
        <v>5.12</v>
      </c>
      <c r="E30" s="30" t="s">
        <v>234</v>
      </c>
      <c r="F30" s="30" t="s">
        <v>11</v>
      </c>
      <c r="G30" s="30" t="s">
        <v>11</v>
      </c>
      <c r="H30" s="30" t="s">
        <v>11</v>
      </c>
      <c r="I30" s="30" t="s">
        <v>11</v>
      </c>
      <c r="J30" s="30" t="s">
        <v>11</v>
      </c>
      <c r="K30" s="30" t="s">
        <v>11</v>
      </c>
    </row>
    <row r="31" spans="2:11" hidden="1" x14ac:dyDescent="0.3">
      <c r="B31" s="29" t="s">
        <v>144</v>
      </c>
      <c r="C31" s="30">
        <v>3.54</v>
      </c>
      <c r="D31" s="30">
        <v>4.8899999999999997</v>
      </c>
      <c r="E31" s="30" t="s">
        <v>244</v>
      </c>
      <c r="F31" s="30">
        <v>1.36</v>
      </c>
      <c r="G31" s="30" t="s">
        <v>11</v>
      </c>
      <c r="H31" s="30" t="s">
        <v>11</v>
      </c>
      <c r="I31" s="30" t="s">
        <v>11</v>
      </c>
      <c r="J31" s="30" t="s">
        <v>11</v>
      </c>
      <c r="K31" s="30" t="s">
        <v>11</v>
      </c>
    </row>
    <row r="32" spans="2:11" hidden="1" x14ac:dyDescent="0.3">
      <c r="B32" s="29" t="s">
        <v>145</v>
      </c>
      <c r="C32" s="30">
        <v>3.15</v>
      </c>
      <c r="D32" s="30" t="s">
        <v>234</v>
      </c>
      <c r="E32" s="30">
        <v>3.54</v>
      </c>
      <c r="F32" s="30" t="s">
        <v>244</v>
      </c>
      <c r="G32" s="30" t="s">
        <v>11</v>
      </c>
      <c r="H32" s="30" t="s">
        <v>11</v>
      </c>
      <c r="I32" s="30" t="s">
        <v>11</v>
      </c>
      <c r="J32" s="30" t="s">
        <v>11</v>
      </c>
      <c r="K32" s="30" t="s">
        <v>11</v>
      </c>
    </row>
    <row r="33" spans="2:11" hidden="1" x14ac:dyDescent="0.3">
      <c r="B33" s="29" t="s">
        <v>146</v>
      </c>
      <c r="C33" s="30">
        <v>17.37</v>
      </c>
      <c r="D33" s="30">
        <v>8.4600000000000009</v>
      </c>
      <c r="E33" s="30">
        <v>0.37</v>
      </c>
      <c r="F33" s="30" t="s">
        <v>11</v>
      </c>
      <c r="G33" s="30" t="s">
        <v>11</v>
      </c>
      <c r="H33" s="30" t="s">
        <v>11</v>
      </c>
      <c r="I33" s="30" t="s">
        <v>11</v>
      </c>
      <c r="J33" s="30" t="s">
        <v>11</v>
      </c>
      <c r="K33" s="30" t="s">
        <v>11</v>
      </c>
    </row>
    <row r="34" spans="2:11" hidden="1" x14ac:dyDescent="0.3">
      <c r="B34" s="29" t="s">
        <v>147</v>
      </c>
      <c r="C34" s="30">
        <v>7.48</v>
      </c>
      <c r="D34" s="30">
        <v>6.04</v>
      </c>
      <c r="E34" s="30" t="s">
        <v>11</v>
      </c>
      <c r="F34" s="30" t="s">
        <v>11</v>
      </c>
      <c r="G34" s="30" t="s">
        <v>11</v>
      </c>
      <c r="H34" s="30" t="s">
        <v>11</v>
      </c>
      <c r="I34" s="30" t="s">
        <v>11</v>
      </c>
      <c r="J34" s="30" t="s">
        <v>11</v>
      </c>
      <c r="K34" s="30" t="s">
        <v>11</v>
      </c>
    </row>
    <row r="35" spans="2:11" hidden="1" x14ac:dyDescent="0.3">
      <c r="B35" s="29" t="s">
        <v>148</v>
      </c>
      <c r="C35" s="30" t="s">
        <v>227</v>
      </c>
      <c r="D35" s="30">
        <v>1.6</v>
      </c>
      <c r="E35" s="30" t="s">
        <v>233</v>
      </c>
      <c r="F35" s="30">
        <v>7.48</v>
      </c>
      <c r="G35" s="30" t="s">
        <v>236</v>
      </c>
      <c r="H35" s="30" t="s">
        <v>11</v>
      </c>
      <c r="I35" s="30" t="s">
        <v>11</v>
      </c>
      <c r="J35" s="30" t="s">
        <v>11</v>
      </c>
      <c r="K35" s="30" t="s">
        <v>11</v>
      </c>
    </row>
    <row r="36" spans="2:11" hidden="1" x14ac:dyDescent="0.3">
      <c r="B36" s="29" t="s">
        <v>149</v>
      </c>
      <c r="C36" s="30">
        <v>2.91</v>
      </c>
      <c r="D36" s="30">
        <v>5.81</v>
      </c>
      <c r="E36" s="30">
        <v>4.33</v>
      </c>
      <c r="F36" s="30">
        <v>1.42</v>
      </c>
      <c r="G36" s="30">
        <v>2.97</v>
      </c>
      <c r="H36" s="30" t="s">
        <v>11</v>
      </c>
      <c r="I36" s="30" t="s">
        <v>11</v>
      </c>
      <c r="J36" s="30" t="s">
        <v>11</v>
      </c>
      <c r="K36" s="30" t="s">
        <v>11</v>
      </c>
    </row>
    <row r="37" spans="2:11" hidden="1" x14ac:dyDescent="0.3">
      <c r="B37" s="29" t="s">
        <v>150</v>
      </c>
      <c r="C37" s="30">
        <v>1.6</v>
      </c>
      <c r="D37" s="30">
        <v>3.13</v>
      </c>
      <c r="E37" s="30">
        <v>2.91</v>
      </c>
      <c r="F37" s="30" t="s">
        <v>233</v>
      </c>
      <c r="G37" s="30">
        <v>5.97</v>
      </c>
      <c r="H37" s="30">
        <v>4.33</v>
      </c>
      <c r="I37" s="30" t="s">
        <v>11</v>
      </c>
      <c r="J37" s="30" t="s">
        <v>11</v>
      </c>
      <c r="K37" s="30" t="s">
        <v>11</v>
      </c>
    </row>
    <row r="38" spans="2:11" hidden="1" x14ac:dyDescent="0.3">
      <c r="B38" s="29" t="s">
        <v>151</v>
      </c>
      <c r="C38" s="30" t="s">
        <v>228</v>
      </c>
      <c r="D38" s="30">
        <v>7.6</v>
      </c>
      <c r="E38" s="30" t="s">
        <v>236</v>
      </c>
      <c r="F38" s="30" t="s">
        <v>11</v>
      </c>
      <c r="G38" s="30" t="s">
        <v>11</v>
      </c>
      <c r="H38" s="30" t="s">
        <v>11</v>
      </c>
      <c r="I38" s="30" t="s">
        <v>11</v>
      </c>
      <c r="J38" s="30" t="s">
        <v>11</v>
      </c>
      <c r="K38" s="30" t="s">
        <v>11</v>
      </c>
    </row>
    <row r="39" spans="2:11" hidden="1" x14ac:dyDescent="0.3">
      <c r="B39" s="29" t="s">
        <v>152</v>
      </c>
      <c r="C39" s="30" t="s">
        <v>228</v>
      </c>
      <c r="D39" s="30">
        <v>4.92</v>
      </c>
      <c r="E39" s="30" t="s">
        <v>236</v>
      </c>
      <c r="F39" s="30" t="s">
        <v>11</v>
      </c>
      <c r="G39" s="30" t="s">
        <v>11</v>
      </c>
      <c r="H39" s="30" t="s">
        <v>11</v>
      </c>
      <c r="I39" s="30" t="s">
        <v>11</v>
      </c>
      <c r="J39" s="30" t="s">
        <v>11</v>
      </c>
      <c r="K39" s="30" t="s">
        <v>11</v>
      </c>
    </row>
    <row r="40" spans="2:11" hidden="1" x14ac:dyDescent="0.3">
      <c r="B40" s="29" t="s">
        <v>153</v>
      </c>
      <c r="C40" s="30">
        <v>1.97</v>
      </c>
      <c r="D40" s="30">
        <v>7.87</v>
      </c>
      <c r="E40" s="30" t="s">
        <v>233</v>
      </c>
      <c r="F40" s="30" t="s">
        <v>229</v>
      </c>
      <c r="G40" s="30">
        <v>1.5</v>
      </c>
      <c r="H40" s="30" t="s">
        <v>11</v>
      </c>
      <c r="I40" s="30" t="s">
        <v>11</v>
      </c>
      <c r="J40" s="30" t="s">
        <v>11</v>
      </c>
      <c r="K40" s="30" t="s">
        <v>11</v>
      </c>
    </row>
    <row r="41" spans="2:11" hidden="1" x14ac:dyDescent="0.3">
      <c r="B41" s="29" t="s">
        <v>154</v>
      </c>
      <c r="C41" s="30" t="s">
        <v>229</v>
      </c>
      <c r="D41" s="30">
        <v>11.19</v>
      </c>
      <c r="E41" s="30" t="s">
        <v>238</v>
      </c>
      <c r="F41" s="30">
        <v>1.5</v>
      </c>
      <c r="G41" s="30" t="s">
        <v>11</v>
      </c>
      <c r="H41" s="30" t="s">
        <v>11</v>
      </c>
      <c r="I41" s="30" t="s">
        <v>11</v>
      </c>
      <c r="J41" s="30" t="s">
        <v>11</v>
      </c>
      <c r="K41" s="30" t="s">
        <v>11</v>
      </c>
    </row>
    <row r="42" spans="2:11" hidden="1" x14ac:dyDescent="0.3">
      <c r="B42" s="29" t="s">
        <v>155</v>
      </c>
      <c r="C42" s="30">
        <v>3.94</v>
      </c>
      <c r="D42" s="30">
        <v>5.12</v>
      </c>
      <c r="E42" s="30" t="s">
        <v>236</v>
      </c>
      <c r="F42" s="30" t="s">
        <v>240</v>
      </c>
      <c r="G42" s="30" t="s">
        <v>11</v>
      </c>
      <c r="H42" s="30" t="s">
        <v>11</v>
      </c>
      <c r="I42" s="30" t="s">
        <v>11</v>
      </c>
      <c r="J42" s="30" t="s">
        <v>11</v>
      </c>
      <c r="K42" s="30" t="s">
        <v>11</v>
      </c>
    </row>
    <row r="43" spans="2:11" hidden="1" x14ac:dyDescent="0.3">
      <c r="B43" s="29" t="s">
        <v>156</v>
      </c>
      <c r="C43" s="30">
        <v>3.86</v>
      </c>
      <c r="D43" s="30">
        <v>3.86</v>
      </c>
      <c r="E43" s="30" t="s">
        <v>233</v>
      </c>
      <c r="F43" s="30" t="s">
        <v>11</v>
      </c>
      <c r="G43" s="30" t="s">
        <v>11</v>
      </c>
      <c r="H43" s="30" t="s">
        <v>11</v>
      </c>
      <c r="I43" s="30" t="s">
        <v>11</v>
      </c>
      <c r="J43" s="30" t="s">
        <v>11</v>
      </c>
      <c r="K43" s="30" t="s">
        <v>11</v>
      </c>
    </row>
    <row r="44" spans="2:11" hidden="1" x14ac:dyDescent="0.3">
      <c r="B44" s="29" t="s">
        <v>157</v>
      </c>
      <c r="C44" s="30">
        <v>35</v>
      </c>
      <c r="D44" s="30">
        <v>30</v>
      </c>
      <c r="E44" s="30">
        <v>25</v>
      </c>
      <c r="F44" s="30">
        <v>400</v>
      </c>
      <c r="G44" s="30" t="s">
        <v>11</v>
      </c>
      <c r="H44" s="30" t="s">
        <v>11</v>
      </c>
      <c r="I44" s="30" t="s">
        <v>11</v>
      </c>
      <c r="J44" s="30" t="s">
        <v>11</v>
      </c>
      <c r="K44" s="30" t="s">
        <v>11</v>
      </c>
    </row>
    <row r="45" spans="2:11" hidden="1" x14ac:dyDescent="0.3">
      <c r="B45" s="29" t="s">
        <v>158</v>
      </c>
      <c r="C45" s="30">
        <v>400</v>
      </c>
      <c r="D45" s="30">
        <v>78.400000000000006</v>
      </c>
      <c r="E45" s="30">
        <v>12.7</v>
      </c>
      <c r="F45" s="30" t="s">
        <v>11</v>
      </c>
      <c r="G45" s="30" t="s">
        <v>11</v>
      </c>
      <c r="H45" s="30" t="s">
        <v>11</v>
      </c>
      <c r="I45" s="30" t="s">
        <v>11</v>
      </c>
      <c r="J45" s="30" t="s">
        <v>11</v>
      </c>
      <c r="K45" s="30" t="s">
        <v>11</v>
      </c>
    </row>
    <row r="46" spans="2:11" hidden="1" x14ac:dyDescent="0.3">
      <c r="B46" s="29" t="s">
        <v>159</v>
      </c>
      <c r="C46" s="30">
        <v>6.58</v>
      </c>
      <c r="D46" s="30">
        <v>9.35</v>
      </c>
      <c r="E46" s="30">
        <v>3.94</v>
      </c>
      <c r="F46" s="30">
        <v>0.12</v>
      </c>
      <c r="G46" s="30" t="s">
        <v>236</v>
      </c>
      <c r="H46" s="30" t="s">
        <v>11</v>
      </c>
      <c r="I46" s="30" t="s">
        <v>11</v>
      </c>
      <c r="J46" s="30" t="s">
        <v>11</v>
      </c>
      <c r="K46" s="30" t="s">
        <v>11</v>
      </c>
    </row>
    <row r="47" spans="2:11" hidden="1" x14ac:dyDescent="0.3">
      <c r="B47" s="29" t="s">
        <v>160</v>
      </c>
      <c r="C47" s="30" t="s">
        <v>228</v>
      </c>
      <c r="D47" s="30" t="s">
        <v>235</v>
      </c>
      <c r="E47" s="30" t="s">
        <v>240</v>
      </c>
      <c r="F47" s="30" t="s">
        <v>11</v>
      </c>
      <c r="G47" s="30" t="s">
        <v>11</v>
      </c>
      <c r="H47" s="30" t="s">
        <v>11</v>
      </c>
      <c r="I47" s="30" t="s">
        <v>11</v>
      </c>
      <c r="J47" s="30" t="s">
        <v>11</v>
      </c>
      <c r="K47" s="30" t="s">
        <v>11</v>
      </c>
    </row>
    <row r="48" spans="2:11" hidden="1" x14ac:dyDescent="0.3">
      <c r="B48" s="29" t="s">
        <v>161</v>
      </c>
      <c r="C48" s="30">
        <v>7.09</v>
      </c>
      <c r="D48" s="30">
        <v>4.33</v>
      </c>
      <c r="E48" s="30" t="s">
        <v>236</v>
      </c>
      <c r="F48" s="30">
        <v>2.76</v>
      </c>
      <c r="G48" s="30">
        <v>0.39</v>
      </c>
      <c r="H48" s="30" t="s">
        <v>253</v>
      </c>
      <c r="I48" s="30" t="s">
        <v>11</v>
      </c>
      <c r="J48" s="30" t="s">
        <v>11</v>
      </c>
      <c r="K48" s="30" t="s">
        <v>11</v>
      </c>
    </row>
    <row r="49" spans="2:11" hidden="1" x14ac:dyDescent="0.3">
      <c r="B49" s="29" t="s">
        <v>162</v>
      </c>
      <c r="C49" s="30">
        <v>7.87</v>
      </c>
      <c r="D49" s="30">
        <v>2.17</v>
      </c>
      <c r="E49" s="30">
        <v>3.94</v>
      </c>
      <c r="F49" s="30">
        <v>2.93</v>
      </c>
      <c r="G49" s="30">
        <v>3.54</v>
      </c>
      <c r="H49" s="30" t="s">
        <v>233</v>
      </c>
      <c r="I49" s="30" t="s">
        <v>11</v>
      </c>
      <c r="J49" s="30" t="s">
        <v>11</v>
      </c>
      <c r="K49" s="30" t="s">
        <v>11</v>
      </c>
    </row>
    <row r="50" spans="2:11" hidden="1" x14ac:dyDescent="0.3">
      <c r="B50" s="29" t="s">
        <v>163</v>
      </c>
      <c r="C50" s="30">
        <v>4.49</v>
      </c>
      <c r="D50" s="30">
        <v>12.2</v>
      </c>
      <c r="E50" s="30" t="s">
        <v>227</v>
      </c>
      <c r="F50" s="30">
        <v>4.6500000000000004</v>
      </c>
      <c r="G50" s="30">
        <v>2.0499999999999998</v>
      </c>
      <c r="H50" s="30">
        <v>16.14</v>
      </c>
      <c r="I50" s="30" t="s">
        <v>240</v>
      </c>
      <c r="J50" s="30" t="s">
        <v>11</v>
      </c>
      <c r="K50" s="30" t="s">
        <v>11</v>
      </c>
    </row>
    <row r="51" spans="2:11" hidden="1" x14ac:dyDescent="0.3">
      <c r="B51" s="29" t="s">
        <v>164</v>
      </c>
      <c r="C51" s="30">
        <v>5.63</v>
      </c>
      <c r="D51" s="30">
        <v>7.09</v>
      </c>
      <c r="E51" s="30">
        <v>4.8099999999999996</v>
      </c>
      <c r="F51" s="30">
        <v>4.0599999999999996</v>
      </c>
      <c r="G51" s="30" t="s">
        <v>237</v>
      </c>
      <c r="H51" s="30" t="s">
        <v>240</v>
      </c>
      <c r="I51" s="30" t="s">
        <v>11</v>
      </c>
      <c r="J51" s="30" t="s">
        <v>11</v>
      </c>
      <c r="K51" s="30" t="s">
        <v>11</v>
      </c>
    </row>
    <row r="52" spans="2:11" hidden="1" x14ac:dyDescent="0.3">
      <c r="B52" s="29" t="s">
        <v>165</v>
      </c>
      <c r="C52" s="30" t="s">
        <v>230</v>
      </c>
      <c r="D52" s="30">
        <v>14.07</v>
      </c>
      <c r="E52" s="30" t="s">
        <v>11</v>
      </c>
      <c r="F52" s="30" t="s">
        <v>11</v>
      </c>
      <c r="G52" s="30" t="s">
        <v>11</v>
      </c>
      <c r="H52" s="30" t="s">
        <v>11</v>
      </c>
      <c r="I52" s="30" t="s">
        <v>11</v>
      </c>
      <c r="J52" s="30" t="s">
        <v>11</v>
      </c>
      <c r="K52" s="30" t="s">
        <v>11</v>
      </c>
    </row>
    <row r="53" spans="2:11" hidden="1" x14ac:dyDescent="0.3">
      <c r="B53" s="29" t="s">
        <v>166</v>
      </c>
      <c r="C53" s="30">
        <v>5.12</v>
      </c>
      <c r="D53" s="30">
        <v>4.33</v>
      </c>
      <c r="E53" s="30" t="s">
        <v>233</v>
      </c>
      <c r="F53" s="30" t="s">
        <v>230</v>
      </c>
      <c r="G53" s="30" t="s">
        <v>11</v>
      </c>
      <c r="H53" s="30" t="s">
        <v>11</v>
      </c>
      <c r="I53" s="30" t="s">
        <v>11</v>
      </c>
      <c r="J53" s="30" t="s">
        <v>11</v>
      </c>
      <c r="K53" s="30" t="s">
        <v>11</v>
      </c>
    </row>
    <row r="54" spans="2:11" hidden="1" x14ac:dyDescent="0.3">
      <c r="B54" s="29" t="s">
        <v>167</v>
      </c>
      <c r="C54" s="30">
        <v>6.58</v>
      </c>
      <c r="D54" s="30" t="s">
        <v>236</v>
      </c>
      <c r="E54" s="30">
        <v>4.33</v>
      </c>
      <c r="F54" s="30" t="s">
        <v>233</v>
      </c>
      <c r="G54" s="30" t="s">
        <v>11</v>
      </c>
      <c r="H54" s="30" t="s">
        <v>11</v>
      </c>
      <c r="I54" s="30" t="s">
        <v>11</v>
      </c>
      <c r="J54" s="30" t="s">
        <v>11</v>
      </c>
      <c r="K54" s="30" t="s">
        <v>11</v>
      </c>
    </row>
    <row r="55" spans="2:11" hidden="1" x14ac:dyDescent="0.3">
      <c r="B55" s="29" t="s">
        <v>168</v>
      </c>
      <c r="C55" s="30" t="s">
        <v>231</v>
      </c>
      <c r="D55" s="30" t="s">
        <v>232</v>
      </c>
      <c r="E55" s="30" t="s">
        <v>245</v>
      </c>
      <c r="F55" s="30" t="s">
        <v>238</v>
      </c>
      <c r="G55" s="30" t="s">
        <v>11</v>
      </c>
      <c r="H55" s="30" t="s">
        <v>11</v>
      </c>
      <c r="I55" s="30" t="s">
        <v>11</v>
      </c>
      <c r="J55" s="30" t="s">
        <v>11</v>
      </c>
      <c r="K55" s="30" t="s">
        <v>11</v>
      </c>
    </row>
    <row r="56" spans="2:11" hidden="1" x14ac:dyDescent="0.3">
      <c r="B56" s="29" t="s">
        <v>169</v>
      </c>
      <c r="C56" s="30">
        <v>20.28</v>
      </c>
      <c r="D56" s="30">
        <v>17.440000000000001</v>
      </c>
      <c r="E56" s="30">
        <v>31.51</v>
      </c>
      <c r="F56" s="30">
        <v>3.39</v>
      </c>
      <c r="G56" s="30">
        <v>2.56</v>
      </c>
      <c r="H56" s="30" t="s">
        <v>240</v>
      </c>
      <c r="I56" s="30">
        <v>19.13</v>
      </c>
      <c r="J56" s="30">
        <v>34.9</v>
      </c>
      <c r="K56" s="30" t="s">
        <v>11</v>
      </c>
    </row>
    <row r="57" spans="2:11" hidden="1" x14ac:dyDescent="0.3">
      <c r="B57" s="29" t="s">
        <v>170</v>
      </c>
      <c r="C57" s="30">
        <v>34.29</v>
      </c>
      <c r="D57" s="30">
        <v>15.75</v>
      </c>
      <c r="E57" s="30" t="s">
        <v>240</v>
      </c>
      <c r="F57" s="30">
        <v>19.13</v>
      </c>
      <c r="G57" s="30" t="s">
        <v>237</v>
      </c>
      <c r="H57" s="30">
        <v>1.38</v>
      </c>
      <c r="I57" s="30" t="s">
        <v>11</v>
      </c>
      <c r="J57" s="30" t="s">
        <v>11</v>
      </c>
      <c r="K57" s="30" t="s">
        <v>11</v>
      </c>
    </row>
    <row r="58" spans="2:11" hidden="1" x14ac:dyDescent="0.3">
      <c r="B58" s="29" t="s">
        <v>171</v>
      </c>
      <c r="C58" s="30">
        <v>5.51</v>
      </c>
      <c r="D58" s="30">
        <v>12.99</v>
      </c>
      <c r="E58" s="30" t="s">
        <v>246</v>
      </c>
      <c r="F58" s="30" t="s">
        <v>249</v>
      </c>
      <c r="G58" s="30" t="s">
        <v>11</v>
      </c>
      <c r="H58" s="30" t="s">
        <v>11</v>
      </c>
      <c r="I58" s="30" t="s">
        <v>11</v>
      </c>
      <c r="J58" s="30" t="s">
        <v>11</v>
      </c>
      <c r="K58" s="30" t="s">
        <v>11</v>
      </c>
    </row>
    <row r="59" spans="2:11" hidden="1" x14ac:dyDescent="0.3">
      <c r="B59" s="29" t="s">
        <v>172</v>
      </c>
      <c r="C59" s="30">
        <v>6.5</v>
      </c>
      <c r="D59" s="30" t="s">
        <v>226</v>
      </c>
      <c r="E59" s="30" t="s">
        <v>233</v>
      </c>
      <c r="F59" s="30" t="s">
        <v>11</v>
      </c>
      <c r="G59" s="30" t="s">
        <v>11</v>
      </c>
      <c r="H59" s="30" t="s">
        <v>11</v>
      </c>
      <c r="I59" s="30" t="s">
        <v>11</v>
      </c>
      <c r="J59" s="30" t="s">
        <v>11</v>
      </c>
      <c r="K59" s="30" t="s">
        <v>11</v>
      </c>
    </row>
    <row r="60" spans="2:11" hidden="1" x14ac:dyDescent="0.3">
      <c r="B60" s="29" t="s">
        <v>173</v>
      </c>
      <c r="C60" s="30">
        <v>2.13</v>
      </c>
      <c r="D60" s="30">
        <v>7.87</v>
      </c>
      <c r="E60" s="30" t="s">
        <v>235</v>
      </c>
      <c r="F60" s="30">
        <v>0.98</v>
      </c>
      <c r="G60" s="30">
        <v>1.93</v>
      </c>
      <c r="H60" s="30" t="s">
        <v>236</v>
      </c>
      <c r="I60" s="30" t="s">
        <v>11</v>
      </c>
      <c r="J60" s="30" t="s">
        <v>11</v>
      </c>
      <c r="K60" s="30" t="s">
        <v>11</v>
      </c>
    </row>
    <row r="61" spans="2:11" hidden="1" x14ac:dyDescent="0.3">
      <c r="B61" s="29" t="s">
        <v>174</v>
      </c>
      <c r="C61" s="30">
        <v>16.95</v>
      </c>
      <c r="D61" s="30">
        <v>5.71</v>
      </c>
      <c r="E61" s="30">
        <v>2.9</v>
      </c>
      <c r="F61" s="30">
        <v>2.23</v>
      </c>
      <c r="G61" s="30" t="s">
        <v>236</v>
      </c>
      <c r="H61" s="30" t="s">
        <v>11</v>
      </c>
      <c r="I61" s="30" t="s">
        <v>11</v>
      </c>
      <c r="J61" s="30" t="s">
        <v>11</v>
      </c>
      <c r="K61" s="30" t="s">
        <v>11</v>
      </c>
    </row>
    <row r="62" spans="2:11" hidden="1" x14ac:dyDescent="0.3">
      <c r="B62" s="29" t="s">
        <v>175</v>
      </c>
      <c r="C62" s="30">
        <v>5.04</v>
      </c>
      <c r="D62" s="30">
        <v>4.96</v>
      </c>
      <c r="E62" s="30">
        <v>1.26</v>
      </c>
      <c r="F62" s="30">
        <v>5.71</v>
      </c>
      <c r="G62" s="30" t="s">
        <v>238</v>
      </c>
      <c r="H62" s="30">
        <v>1.38</v>
      </c>
      <c r="I62" s="30">
        <v>1.26</v>
      </c>
      <c r="J62" s="30" t="s">
        <v>11</v>
      </c>
      <c r="K62" s="30" t="s">
        <v>11</v>
      </c>
    </row>
    <row r="63" spans="2:11" hidden="1" x14ac:dyDescent="0.3">
      <c r="B63" s="29" t="s">
        <v>176</v>
      </c>
      <c r="C63" s="30">
        <v>4.33</v>
      </c>
      <c r="D63" s="30">
        <v>5.39</v>
      </c>
      <c r="E63" s="30">
        <v>1.06</v>
      </c>
      <c r="F63" s="30" t="s">
        <v>11</v>
      </c>
      <c r="G63" s="30" t="s">
        <v>11</v>
      </c>
      <c r="H63" s="30" t="s">
        <v>11</v>
      </c>
      <c r="I63" s="30" t="s">
        <v>11</v>
      </c>
      <c r="J63" s="30" t="s">
        <v>11</v>
      </c>
      <c r="K63" s="30" t="s">
        <v>11</v>
      </c>
    </row>
    <row r="64" spans="2:11" hidden="1" x14ac:dyDescent="0.3">
      <c r="B64" s="29" t="s">
        <v>177</v>
      </c>
      <c r="C64" s="30">
        <v>4.32</v>
      </c>
      <c r="D64" s="30">
        <v>1.04</v>
      </c>
      <c r="E64" s="30">
        <v>4.33</v>
      </c>
      <c r="F64" s="30">
        <v>5.35</v>
      </c>
      <c r="G64" s="30" t="s">
        <v>11</v>
      </c>
      <c r="H64" s="30" t="s">
        <v>11</v>
      </c>
      <c r="I64" s="30" t="s">
        <v>11</v>
      </c>
      <c r="J64" s="30" t="s">
        <v>11</v>
      </c>
      <c r="K64" s="30" t="s">
        <v>11</v>
      </c>
    </row>
    <row r="65" spans="2:11" hidden="1" x14ac:dyDescent="0.3">
      <c r="B65" s="29" t="s">
        <v>178</v>
      </c>
      <c r="C65" s="30">
        <v>4.74</v>
      </c>
      <c r="D65" s="30">
        <v>0.6</v>
      </c>
      <c r="E65" s="30">
        <v>3.45</v>
      </c>
      <c r="F65" s="30" t="s">
        <v>238</v>
      </c>
      <c r="G65" s="30" t="s">
        <v>11</v>
      </c>
      <c r="H65" s="30" t="s">
        <v>11</v>
      </c>
      <c r="I65" s="30" t="s">
        <v>11</v>
      </c>
      <c r="J65" s="30" t="s">
        <v>11</v>
      </c>
      <c r="K65" s="30" t="s">
        <v>11</v>
      </c>
    </row>
    <row r="66" spans="2:11" hidden="1" x14ac:dyDescent="0.3">
      <c r="B66" s="29" t="s">
        <v>179</v>
      </c>
      <c r="C66" s="30">
        <v>4.13</v>
      </c>
      <c r="D66" s="30">
        <v>3.45</v>
      </c>
      <c r="E66" s="30">
        <v>3.87</v>
      </c>
      <c r="F66" s="30" t="s">
        <v>238</v>
      </c>
      <c r="G66" s="30">
        <v>0.79</v>
      </c>
      <c r="H66" s="30" t="s">
        <v>11</v>
      </c>
      <c r="I66" s="30" t="s">
        <v>11</v>
      </c>
      <c r="J66" s="30" t="s">
        <v>11</v>
      </c>
      <c r="K66" s="30" t="s">
        <v>11</v>
      </c>
    </row>
    <row r="67" spans="2:11" hidden="1" x14ac:dyDescent="0.3">
      <c r="B67" s="29" t="s">
        <v>180</v>
      </c>
      <c r="C67" s="30">
        <v>5.12</v>
      </c>
      <c r="D67" s="30">
        <v>9.52</v>
      </c>
      <c r="E67" s="30" t="s">
        <v>236</v>
      </c>
      <c r="F67" s="30" t="s">
        <v>11</v>
      </c>
      <c r="G67" s="30" t="s">
        <v>11</v>
      </c>
      <c r="H67" s="30" t="s">
        <v>11</v>
      </c>
      <c r="I67" s="30" t="s">
        <v>11</v>
      </c>
      <c r="J67" s="30" t="s">
        <v>11</v>
      </c>
      <c r="K67" s="30" t="s">
        <v>11</v>
      </c>
    </row>
    <row r="68" spans="2:11" hidden="1" x14ac:dyDescent="0.3">
      <c r="B68" s="29" t="s">
        <v>181</v>
      </c>
      <c r="C68" s="30">
        <v>7.09</v>
      </c>
      <c r="D68" s="30" t="s">
        <v>236</v>
      </c>
      <c r="E68" s="30">
        <v>5.12</v>
      </c>
      <c r="F68" s="30">
        <v>0.39</v>
      </c>
      <c r="G68" s="30">
        <v>1.37</v>
      </c>
      <c r="H68" s="30" t="s">
        <v>11</v>
      </c>
      <c r="I68" s="30" t="s">
        <v>11</v>
      </c>
      <c r="J68" s="30" t="s">
        <v>11</v>
      </c>
      <c r="K68" s="30" t="s">
        <v>11</v>
      </c>
    </row>
    <row r="69" spans="2:11" hidden="1" x14ac:dyDescent="0.3">
      <c r="B69" s="29" t="s">
        <v>182</v>
      </c>
      <c r="C69" s="30">
        <v>1.38</v>
      </c>
      <c r="D69" s="30">
        <v>3.43</v>
      </c>
      <c r="E69" s="30" t="s">
        <v>247</v>
      </c>
      <c r="F69" s="30" t="s">
        <v>236</v>
      </c>
      <c r="G69" s="30" t="s">
        <v>233</v>
      </c>
      <c r="H69" s="30" t="s">
        <v>11</v>
      </c>
      <c r="I69" s="30" t="s">
        <v>11</v>
      </c>
      <c r="J69" s="30" t="s">
        <v>11</v>
      </c>
      <c r="K69" s="30" t="s">
        <v>11</v>
      </c>
    </row>
    <row r="70" spans="2:11" hidden="1" x14ac:dyDescent="0.3">
      <c r="B70" s="29" t="s">
        <v>134</v>
      </c>
      <c r="C70" s="30">
        <v>2.95</v>
      </c>
      <c r="D70" s="30">
        <v>3.54</v>
      </c>
      <c r="E70" s="30">
        <v>0.2</v>
      </c>
      <c r="F70" s="30" t="s">
        <v>236</v>
      </c>
      <c r="G70" s="30" t="s">
        <v>251</v>
      </c>
      <c r="H70" s="30" t="s">
        <v>11</v>
      </c>
      <c r="I70" s="30" t="s">
        <v>11</v>
      </c>
      <c r="J70" s="30" t="s">
        <v>11</v>
      </c>
      <c r="K70" s="30" t="s">
        <v>11</v>
      </c>
    </row>
    <row r="71" spans="2:11" hidden="1" x14ac:dyDescent="0.3">
      <c r="B71" s="29" t="s">
        <v>183</v>
      </c>
      <c r="C71" s="30">
        <v>4.76</v>
      </c>
      <c r="D71" s="33" t="s">
        <v>237</v>
      </c>
      <c r="E71" s="30" t="s">
        <v>240</v>
      </c>
      <c r="F71" s="30" t="s">
        <v>11</v>
      </c>
      <c r="G71" s="30" t="s">
        <v>11</v>
      </c>
      <c r="H71" s="30" t="s">
        <v>11</v>
      </c>
      <c r="I71" s="30" t="s">
        <v>11</v>
      </c>
      <c r="J71" s="30" t="s">
        <v>11</v>
      </c>
      <c r="K71" s="30" t="s">
        <v>11</v>
      </c>
    </row>
    <row r="72" spans="2:11" hidden="1" x14ac:dyDescent="0.3">
      <c r="B72" s="29" t="s">
        <v>184</v>
      </c>
      <c r="C72" s="30" t="s">
        <v>228</v>
      </c>
      <c r="D72" s="30" t="s">
        <v>237</v>
      </c>
      <c r="E72" s="30">
        <v>3.54</v>
      </c>
      <c r="F72" s="30" t="s">
        <v>233</v>
      </c>
      <c r="G72" s="30" t="s">
        <v>11</v>
      </c>
      <c r="H72" s="30" t="s">
        <v>11</v>
      </c>
      <c r="I72" s="30" t="s">
        <v>11</v>
      </c>
      <c r="J72" s="30" t="s">
        <v>11</v>
      </c>
      <c r="K72" s="30" t="s">
        <v>11</v>
      </c>
    </row>
    <row r="73" spans="2:11" hidden="1" x14ac:dyDescent="0.3">
      <c r="B73" s="29" t="s">
        <v>185</v>
      </c>
      <c r="C73" s="30">
        <v>3.15</v>
      </c>
      <c r="D73" s="30">
        <v>3.15</v>
      </c>
      <c r="E73" s="30" t="s">
        <v>236</v>
      </c>
      <c r="F73" s="30" t="s">
        <v>11</v>
      </c>
      <c r="G73" s="30" t="s">
        <v>11</v>
      </c>
      <c r="H73" s="30" t="s">
        <v>11</v>
      </c>
      <c r="I73" s="30" t="s">
        <v>11</v>
      </c>
      <c r="J73" s="30" t="s">
        <v>11</v>
      </c>
      <c r="K73" s="30" t="s">
        <v>11</v>
      </c>
    </row>
    <row r="74" spans="2:11" hidden="1" x14ac:dyDescent="0.3">
      <c r="B74" s="29" t="s">
        <v>186</v>
      </c>
      <c r="C74" s="30">
        <v>15.35</v>
      </c>
      <c r="D74" s="30" t="s">
        <v>238</v>
      </c>
      <c r="E74" s="30" t="s">
        <v>242</v>
      </c>
      <c r="F74" s="30">
        <v>7.09</v>
      </c>
      <c r="G74" s="30">
        <v>2.76</v>
      </c>
      <c r="H74" s="30" t="s">
        <v>11</v>
      </c>
      <c r="I74" s="30" t="s">
        <v>11</v>
      </c>
      <c r="J74" s="30" t="s">
        <v>11</v>
      </c>
      <c r="K74" s="30" t="s">
        <v>11</v>
      </c>
    </row>
    <row r="75" spans="2:11" hidden="1" x14ac:dyDescent="0.3">
      <c r="B75" s="29" t="s">
        <v>187</v>
      </c>
      <c r="C75" s="30" t="s">
        <v>232</v>
      </c>
      <c r="D75" s="30" t="s">
        <v>232</v>
      </c>
      <c r="E75" s="30" t="s">
        <v>233</v>
      </c>
      <c r="F75" s="30" t="s">
        <v>11</v>
      </c>
      <c r="G75" s="30" t="s">
        <v>11</v>
      </c>
      <c r="H75" s="30" t="s">
        <v>11</v>
      </c>
      <c r="I75" s="30" t="s">
        <v>11</v>
      </c>
      <c r="J75" s="30" t="s">
        <v>11</v>
      </c>
      <c r="K75" s="30" t="s">
        <v>11</v>
      </c>
    </row>
    <row r="76" spans="2:11" hidden="1" x14ac:dyDescent="0.3">
      <c r="B76" s="29" t="s">
        <v>188</v>
      </c>
      <c r="C76" s="30">
        <v>9.86</v>
      </c>
      <c r="D76" s="30">
        <v>6.3</v>
      </c>
      <c r="E76" s="30">
        <v>9.08</v>
      </c>
      <c r="F76" s="30" t="s">
        <v>236</v>
      </c>
      <c r="G76" s="30">
        <v>0.56999999999999995</v>
      </c>
      <c r="H76" s="30" t="s">
        <v>11</v>
      </c>
      <c r="I76" s="30" t="s">
        <v>11</v>
      </c>
      <c r="J76" s="30" t="s">
        <v>11</v>
      </c>
      <c r="K76" s="30" t="s">
        <v>11</v>
      </c>
    </row>
    <row r="77" spans="2:11" hidden="1" x14ac:dyDescent="0.3">
      <c r="B77" s="29" t="s">
        <v>92</v>
      </c>
      <c r="C77" s="30">
        <v>14.96</v>
      </c>
      <c r="D77" s="30">
        <v>12.44</v>
      </c>
      <c r="E77" s="30" t="s">
        <v>230</v>
      </c>
      <c r="F77" s="30" t="s">
        <v>230</v>
      </c>
      <c r="G77" s="30" t="s">
        <v>252</v>
      </c>
      <c r="H77" s="30" t="s">
        <v>242</v>
      </c>
      <c r="I77" s="30" t="s">
        <v>11</v>
      </c>
      <c r="J77" s="30" t="s">
        <v>11</v>
      </c>
      <c r="K77" s="30" t="s">
        <v>11</v>
      </c>
    </row>
    <row r="78" spans="2:11" hidden="1" x14ac:dyDescent="0.3">
      <c r="B78" s="29" t="s">
        <v>189</v>
      </c>
      <c r="C78" s="30">
        <v>24.02</v>
      </c>
      <c r="D78" s="30">
        <v>11.81</v>
      </c>
      <c r="E78" s="30">
        <v>19.29</v>
      </c>
      <c r="F78" s="30">
        <v>1.57</v>
      </c>
      <c r="G78" s="30" t="s">
        <v>238</v>
      </c>
      <c r="H78" s="30" t="s">
        <v>11</v>
      </c>
      <c r="I78" s="30" t="s">
        <v>11</v>
      </c>
      <c r="J78" s="30" t="s">
        <v>11</v>
      </c>
      <c r="K78" s="30" t="s">
        <v>11</v>
      </c>
    </row>
    <row r="79" spans="2:11" x14ac:dyDescent="0.3">
      <c r="B79" s="29" t="s">
        <v>190</v>
      </c>
      <c r="C79" s="30">
        <v>4.84</v>
      </c>
      <c r="D79" s="30">
        <v>13.05</v>
      </c>
      <c r="E79" s="30">
        <v>11.22</v>
      </c>
      <c r="F79" s="30">
        <v>0.86</v>
      </c>
      <c r="G79" s="30">
        <v>39.049999999999997</v>
      </c>
      <c r="H79" s="30">
        <v>0.2</v>
      </c>
      <c r="I79" s="30" t="s">
        <v>11</v>
      </c>
      <c r="J79" s="30" t="s">
        <v>11</v>
      </c>
      <c r="K79" s="30" t="s">
        <v>11</v>
      </c>
    </row>
    <row r="80" spans="2:11" x14ac:dyDescent="0.3">
      <c r="B80" s="29" t="s">
        <v>191</v>
      </c>
      <c r="C80" s="30">
        <v>11.56</v>
      </c>
      <c r="D80" s="30">
        <v>12.6</v>
      </c>
      <c r="E80" s="30">
        <v>13.46</v>
      </c>
      <c r="F80" s="30">
        <v>0.73</v>
      </c>
      <c r="G80" s="30">
        <v>4.84</v>
      </c>
      <c r="H80" s="30">
        <v>15.89</v>
      </c>
      <c r="I80" s="30" t="s">
        <v>230</v>
      </c>
      <c r="J80" s="30" t="s">
        <v>11</v>
      </c>
      <c r="K80" s="30" t="s">
        <v>11</v>
      </c>
    </row>
    <row r="81" spans="2:11" hidden="1" x14ac:dyDescent="0.3">
      <c r="B81" s="29" t="s">
        <v>192</v>
      </c>
      <c r="C81" s="30">
        <v>2.36</v>
      </c>
      <c r="D81" s="30">
        <v>2.36</v>
      </c>
      <c r="E81" s="30">
        <v>0.71</v>
      </c>
      <c r="F81" s="30" t="s">
        <v>250</v>
      </c>
      <c r="G81" s="30" t="s">
        <v>236</v>
      </c>
      <c r="H81" s="30" t="s">
        <v>11</v>
      </c>
      <c r="I81" s="30" t="s">
        <v>11</v>
      </c>
      <c r="J81" s="30" t="s">
        <v>11</v>
      </c>
      <c r="K81" s="30" t="s">
        <v>11</v>
      </c>
    </row>
    <row r="82" spans="2:11" hidden="1" x14ac:dyDescent="0.3">
      <c r="B82" s="29" t="s">
        <v>193</v>
      </c>
      <c r="C82" s="30">
        <v>3.94</v>
      </c>
      <c r="D82" s="30">
        <v>3.54</v>
      </c>
      <c r="E82" s="30">
        <v>3.94</v>
      </c>
      <c r="F82" s="30">
        <v>0.77</v>
      </c>
      <c r="G82" s="30">
        <v>3.92</v>
      </c>
      <c r="H82" s="30">
        <v>0.77</v>
      </c>
      <c r="I82" s="30" t="s">
        <v>243</v>
      </c>
      <c r="J82" s="30" t="s">
        <v>11</v>
      </c>
      <c r="K82" s="30" t="s">
        <v>11</v>
      </c>
    </row>
    <row r="83" spans="2:11" hidden="1" x14ac:dyDescent="0.3">
      <c r="B83" s="29" t="s">
        <v>194</v>
      </c>
      <c r="C83" s="30">
        <v>1.38</v>
      </c>
      <c r="D83" s="30">
        <v>48.53</v>
      </c>
      <c r="E83" s="30">
        <v>20.190000000000001</v>
      </c>
      <c r="F83" s="30">
        <v>14.17</v>
      </c>
      <c r="G83" s="30">
        <v>2.56</v>
      </c>
      <c r="H83" s="30" t="s">
        <v>236</v>
      </c>
      <c r="I83" s="30">
        <v>4.1900000000000004</v>
      </c>
      <c r="J83" s="30">
        <v>1.1100000000000001</v>
      </c>
      <c r="K83" s="30" t="s">
        <v>232</v>
      </c>
    </row>
    <row r="84" spans="2:11" hidden="1" x14ac:dyDescent="0.3">
      <c r="B84" s="31" t="s">
        <v>195</v>
      </c>
      <c r="C84" s="32">
        <v>101.4</v>
      </c>
      <c r="D84" s="32">
        <v>705.7</v>
      </c>
      <c r="E84" s="32">
        <v>76.2</v>
      </c>
      <c r="F84" s="32" t="s">
        <v>11</v>
      </c>
      <c r="G84" s="32" t="s">
        <v>11</v>
      </c>
      <c r="H84" s="32" t="s">
        <v>11</v>
      </c>
      <c r="I84" s="32" t="s">
        <v>11</v>
      </c>
      <c r="J84" s="32" t="s">
        <v>11</v>
      </c>
      <c r="K84" s="32" t="s">
        <v>11</v>
      </c>
    </row>
    <row r="85" spans="2:11" hidden="1" x14ac:dyDescent="0.3">
      <c r="B85" s="31" t="s">
        <v>196</v>
      </c>
      <c r="C85" s="32">
        <v>106.4</v>
      </c>
      <c r="D85" s="32">
        <v>512.70000000000005</v>
      </c>
      <c r="E85" s="32" t="s">
        <v>11</v>
      </c>
      <c r="F85" s="32" t="s">
        <v>11</v>
      </c>
      <c r="G85" s="32" t="s">
        <v>11</v>
      </c>
      <c r="H85" s="32" t="s">
        <v>11</v>
      </c>
      <c r="I85" s="32" t="s">
        <v>11</v>
      </c>
      <c r="J85" s="32" t="s">
        <v>11</v>
      </c>
      <c r="K85" s="32" t="s">
        <v>11</v>
      </c>
    </row>
    <row r="86" spans="2:11" hidden="1" x14ac:dyDescent="0.3">
      <c r="B86" s="29" t="s">
        <v>197</v>
      </c>
      <c r="C86" s="30">
        <v>14.17</v>
      </c>
      <c r="D86" s="30">
        <v>38.1</v>
      </c>
      <c r="E86" s="30">
        <v>4.7629999999999999</v>
      </c>
      <c r="F86" s="30">
        <v>50</v>
      </c>
      <c r="G86" s="30">
        <v>130</v>
      </c>
      <c r="H86" s="30">
        <v>130</v>
      </c>
      <c r="I86" s="30" t="s">
        <v>11</v>
      </c>
      <c r="J86" s="30" t="s">
        <v>11</v>
      </c>
      <c r="K86" s="30" t="s">
        <v>11</v>
      </c>
    </row>
    <row r="87" spans="2:11" hidden="1" x14ac:dyDescent="0.3">
      <c r="B87" s="29" t="s">
        <v>198</v>
      </c>
      <c r="C87" s="30">
        <v>0.79</v>
      </c>
      <c r="D87" s="30" t="s">
        <v>239</v>
      </c>
      <c r="E87" s="30" t="s">
        <v>11</v>
      </c>
      <c r="F87" s="30" t="s">
        <v>11</v>
      </c>
      <c r="G87" s="30" t="s">
        <v>11</v>
      </c>
      <c r="H87" s="30" t="s">
        <v>11</v>
      </c>
      <c r="I87" s="30" t="s">
        <v>11</v>
      </c>
      <c r="J87" s="30" t="s">
        <v>11</v>
      </c>
      <c r="K87" s="30" t="s">
        <v>11</v>
      </c>
    </row>
    <row r="88" spans="2:11" hidden="1" x14ac:dyDescent="0.3">
      <c r="B88" s="29" t="s">
        <v>199</v>
      </c>
      <c r="C88" s="30" t="s">
        <v>200</v>
      </c>
      <c r="D88" s="30" t="s">
        <v>230</v>
      </c>
      <c r="E88" s="30" t="s">
        <v>233</v>
      </c>
      <c r="F88" s="30" t="s">
        <v>11</v>
      </c>
      <c r="G88" s="30" t="s">
        <v>11</v>
      </c>
      <c r="H88" s="30" t="s">
        <v>11</v>
      </c>
      <c r="I88" s="30" t="s">
        <v>11</v>
      </c>
      <c r="J88" s="30" t="s">
        <v>11</v>
      </c>
      <c r="K88" s="30" t="s">
        <v>11</v>
      </c>
    </row>
    <row r="89" spans="2:11" hidden="1" x14ac:dyDescent="0.3">
      <c r="B89" s="29" t="s">
        <v>201</v>
      </c>
      <c r="C89" s="30" t="s">
        <v>202</v>
      </c>
      <c r="D89" s="30" t="s">
        <v>203</v>
      </c>
      <c r="E89" s="30" t="s">
        <v>236</v>
      </c>
      <c r="F89" s="30" t="s">
        <v>11</v>
      </c>
      <c r="G89" s="30" t="s">
        <v>11</v>
      </c>
      <c r="H89" s="30" t="s">
        <v>11</v>
      </c>
      <c r="I89" s="30" t="s">
        <v>11</v>
      </c>
      <c r="J89" s="30" t="s">
        <v>11</v>
      </c>
      <c r="K89" s="30" t="s">
        <v>11</v>
      </c>
    </row>
    <row r="90" spans="2:11" hidden="1" x14ac:dyDescent="0.3">
      <c r="B90" s="29" t="s">
        <v>168</v>
      </c>
      <c r="C90" s="30" t="s">
        <v>231</v>
      </c>
      <c r="D90" s="30" t="s">
        <v>238</v>
      </c>
      <c r="E90" s="30" t="s">
        <v>232</v>
      </c>
      <c r="F90" s="30" t="s">
        <v>245</v>
      </c>
      <c r="G90" s="30" t="s">
        <v>245</v>
      </c>
      <c r="H90" s="30" t="s">
        <v>11</v>
      </c>
      <c r="I90" s="30" t="s">
        <v>11</v>
      </c>
      <c r="J90" s="30" t="s">
        <v>11</v>
      </c>
      <c r="K90" s="30" t="s">
        <v>11</v>
      </c>
    </row>
    <row r="91" spans="2:11" hidden="1" x14ac:dyDescent="0.3">
      <c r="B91" s="31" t="s">
        <v>204</v>
      </c>
      <c r="C91" s="32" t="s">
        <v>205</v>
      </c>
      <c r="D91" s="32" t="s">
        <v>206</v>
      </c>
      <c r="E91" s="32" t="s">
        <v>207</v>
      </c>
      <c r="F91" s="32" t="s">
        <v>11</v>
      </c>
      <c r="G91" s="32" t="s">
        <v>11</v>
      </c>
      <c r="H91" s="32" t="s">
        <v>11</v>
      </c>
      <c r="I91" s="32" t="s">
        <v>11</v>
      </c>
      <c r="J91" s="32" t="s">
        <v>11</v>
      </c>
      <c r="K91" s="32" t="s">
        <v>11</v>
      </c>
    </row>
    <row r="92" spans="2:11" hidden="1" x14ac:dyDescent="0.3">
      <c r="B92" s="31" t="s">
        <v>204</v>
      </c>
      <c r="C92" s="32" t="s">
        <v>208</v>
      </c>
      <c r="D92" s="32" t="s">
        <v>209</v>
      </c>
      <c r="E92" s="32" t="s">
        <v>206</v>
      </c>
      <c r="F92" s="32" t="s">
        <v>210</v>
      </c>
      <c r="G92" s="32" t="s">
        <v>11</v>
      </c>
      <c r="H92" s="32" t="s">
        <v>11</v>
      </c>
      <c r="I92" s="32" t="s">
        <v>11</v>
      </c>
      <c r="J92" s="32" t="s">
        <v>11</v>
      </c>
      <c r="K92" s="32" t="s">
        <v>11</v>
      </c>
    </row>
    <row r="93" spans="2:11" hidden="1" x14ac:dyDescent="0.3">
      <c r="B93" s="31" t="s">
        <v>211</v>
      </c>
      <c r="C93" s="32" t="s">
        <v>212</v>
      </c>
      <c r="D93" s="32" t="s">
        <v>213</v>
      </c>
      <c r="E93" s="32" t="s">
        <v>214</v>
      </c>
      <c r="F93" s="32" t="s">
        <v>215</v>
      </c>
      <c r="G93" s="32" t="s">
        <v>11</v>
      </c>
      <c r="H93" s="32" t="s">
        <v>11</v>
      </c>
      <c r="I93" s="32" t="s">
        <v>11</v>
      </c>
      <c r="J93" s="32" t="s">
        <v>11</v>
      </c>
      <c r="K93" s="32" t="s">
        <v>11</v>
      </c>
    </row>
    <row r="94" spans="2:11" hidden="1" x14ac:dyDescent="0.3">
      <c r="B94" s="29" t="s">
        <v>216</v>
      </c>
      <c r="C94" s="30" t="s">
        <v>233</v>
      </c>
      <c r="D94" s="30" t="s">
        <v>237</v>
      </c>
      <c r="E94" s="30" t="s">
        <v>248</v>
      </c>
      <c r="F94" s="30" t="s">
        <v>11</v>
      </c>
      <c r="G94" s="30" t="s">
        <v>11</v>
      </c>
      <c r="H94" s="30" t="s">
        <v>11</v>
      </c>
      <c r="I94" s="30" t="s">
        <v>11</v>
      </c>
      <c r="J94" s="30" t="s">
        <v>11</v>
      </c>
      <c r="K94" s="30" t="s">
        <v>11</v>
      </c>
    </row>
    <row r="95" spans="2:11" hidden="1" x14ac:dyDescent="0.3">
      <c r="B95" s="4" t="s">
        <v>217</v>
      </c>
      <c r="C95" s="17">
        <v>19.5</v>
      </c>
      <c r="D95" s="5">
        <v>18.46</v>
      </c>
      <c r="E95" s="5">
        <v>6.74</v>
      </c>
      <c r="F95" s="5">
        <v>19.690000000000001</v>
      </c>
      <c r="G95" s="5">
        <v>28.97</v>
      </c>
      <c r="H95" s="5">
        <v>3.54</v>
      </c>
      <c r="I95" s="5">
        <v>1.77</v>
      </c>
      <c r="J95" s="5" t="s">
        <v>11</v>
      </c>
      <c r="K95" s="5" t="s">
        <v>11</v>
      </c>
    </row>
    <row r="96" spans="2:11" hidden="1" x14ac:dyDescent="0.3">
      <c r="B96" s="4" t="s">
        <v>218</v>
      </c>
      <c r="C96" s="5">
        <v>4.72</v>
      </c>
      <c r="D96" s="5">
        <v>10.71</v>
      </c>
      <c r="E96" s="5">
        <v>1.18</v>
      </c>
      <c r="F96" s="5">
        <v>1.77</v>
      </c>
      <c r="G96" s="5">
        <v>3.54</v>
      </c>
      <c r="H96" s="5">
        <v>0.59</v>
      </c>
      <c r="I96" s="5">
        <v>3.15</v>
      </c>
      <c r="J96" s="5" t="s">
        <v>11</v>
      </c>
      <c r="K96" s="5" t="s">
        <v>11</v>
      </c>
    </row>
  </sheetData>
  <autoFilter ref="B1:K96" xr:uid="{4F9DCBF7-7A45-484C-9885-CA9D737FF8D1}">
    <filterColumn colId="0">
      <filters>
        <filter val="CUBREPOLVO (CORTE)"/>
        <filter val="CUBREPOLVO (DOBLEZ)"/>
      </filters>
    </filterColumn>
  </autoFilter>
  <mergeCells count="4">
    <mergeCell ref="N2:N3"/>
    <mergeCell ref="N5:N6"/>
    <mergeCell ref="N12:N13"/>
    <mergeCell ref="N15:N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23761-30D4-4923-9171-92E3BA10D817}">
  <sheetPr codeName="Sheet4">
    <tabColor theme="8" tint="0.59999389629810485"/>
  </sheetPr>
  <dimension ref="B1:K25"/>
  <sheetViews>
    <sheetView workbookViewId="0">
      <selection activeCell="C17" sqref="C17"/>
    </sheetView>
  </sheetViews>
  <sheetFormatPr defaultRowHeight="14.4" x14ac:dyDescent="0.3"/>
  <cols>
    <col min="2" max="2" width="39.109375" customWidth="1"/>
  </cols>
  <sheetData>
    <row r="1" spans="2:1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</row>
    <row r="2" spans="2:11" x14ac:dyDescent="0.3">
      <c r="B2" s="4" t="s">
        <v>256</v>
      </c>
      <c r="C2" s="5">
        <v>2</v>
      </c>
      <c r="D2" s="5">
        <v>3</v>
      </c>
      <c r="E2" s="5">
        <v>51.83</v>
      </c>
      <c r="F2" s="5">
        <v>51.67</v>
      </c>
      <c r="G2" s="5" t="s">
        <v>11</v>
      </c>
      <c r="H2" s="5" t="s">
        <v>11</v>
      </c>
      <c r="I2" s="5" t="s">
        <v>11</v>
      </c>
      <c r="J2" s="5" t="s">
        <v>11</v>
      </c>
      <c r="K2" s="5" t="s">
        <v>11</v>
      </c>
    </row>
    <row r="3" spans="2:11" x14ac:dyDescent="0.3">
      <c r="B3" s="4" t="s">
        <v>257</v>
      </c>
      <c r="C3" s="17">
        <v>1.25</v>
      </c>
      <c r="D3" s="5">
        <v>2.56</v>
      </c>
      <c r="E3" s="17">
        <v>0.125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</row>
    <row r="4" spans="2:11" x14ac:dyDescent="0.3">
      <c r="B4" s="4" t="s">
        <v>258</v>
      </c>
      <c r="C4" s="5">
        <v>4</v>
      </c>
      <c r="D4" s="5">
        <v>10</v>
      </c>
      <c r="E4" s="5">
        <v>6.12</v>
      </c>
      <c r="F4" s="17">
        <v>0.625</v>
      </c>
      <c r="G4" s="5">
        <v>0.18</v>
      </c>
      <c r="H4" s="5">
        <v>3</v>
      </c>
      <c r="I4" s="5" t="s">
        <v>11</v>
      </c>
      <c r="J4" s="5" t="s">
        <v>11</v>
      </c>
      <c r="K4" s="5" t="s">
        <v>11</v>
      </c>
    </row>
    <row r="5" spans="2:11" x14ac:dyDescent="0.3">
      <c r="B5" s="4" t="s">
        <v>259</v>
      </c>
      <c r="C5" s="5">
        <v>2.56</v>
      </c>
      <c r="D5" s="5">
        <v>0.43</v>
      </c>
      <c r="E5" s="17">
        <v>0.125</v>
      </c>
      <c r="F5" s="5" t="s">
        <v>11</v>
      </c>
      <c r="G5" s="5" t="s">
        <v>11</v>
      </c>
      <c r="H5" s="5" t="s">
        <v>11</v>
      </c>
      <c r="I5" s="5" t="s">
        <v>11</v>
      </c>
      <c r="J5" s="5" t="s">
        <v>11</v>
      </c>
      <c r="K5" s="5" t="s">
        <v>11</v>
      </c>
    </row>
    <row r="6" spans="2:11" x14ac:dyDescent="0.3">
      <c r="B6" s="4" t="s">
        <v>260</v>
      </c>
      <c r="C6" s="5">
        <v>4</v>
      </c>
      <c r="D6" s="5">
        <v>4</v>
      </c>
      <c r="E6" s="5">
        <v>0.15</v>
      </c>
      <c r="F6" s="5">
        <v>36.93</v>
      </c>
      <c r="G6" s="5">
        <v>42.13</v>
      </c>
      <c r="H6" s="5">
        <v>4.7699999999999996</v>
      </c>
      <c r="I6" s="5" t="s">
        <v>11</v>
      </c>
      <c r="J6" s="5" t="s">
        <v>11</v>
      </c>
      <c r="K6" s="5" t="s">
        <v>11</v>
      </c>
    </row>
    <row r="7" spans="2:11" x14ac:dyDescent="0.3">
      <c r="B7" s="4" t="s">
        <v>261</v>
      </c>
      <c r="C7" s="23">
        <v>0.1875</v>
      </c>
      <c r="D7" s="17">
        <v>0.75</v>
      </c>
      <c r="E7" s="5">
        <v>17.100000000000001</v>
      </c>
      <c r="F7" s="5" t="s">
        <v>11</v>
      </c>
      <c r="G7" s="5" t="s">
        <v>11</v>
      </c>
      <c r="H7" s="5" t="s">
        <v>11</v>
      </c>
      <c r="I7" s="5" t="s">
        <v>11</v>
      </c>
      <c r="J7" s="5" t="s">
        <v>11</v>
      </c>
      <c r="K7" s="5" t="s">
        <v>11</v>
      </c>
    </row>
    <row r="8" spans="2:11" x14ac:dyDescent="0.3">
      <c r="B8" s="4" t="s">
        <v>262</v>
      </c>
      <c r="C8" s="5">
        <v>4</v>
      </c>
      <c r="D8" s="5">
        <v>4</v>
      </c>
      <c r="E8" s="5">
        <v>86.65</v>
      </c>
      <c r="F8" s="5" t="s">
        <v>280</v>
      </c>
      <c r="G8" s="17">
        <v>1.5</v>
      </c>
      <c r="H8" s="5" t="s">
        <v>11</v>
      </c>
      <c r="I8" s="5" t="s">
        <v>11</v>
      </c>
      <c r="J8" s="5" t="s">
        <v>11</v>
      </c>
      <c r="K8" s="5" t="s">
        <v>11</v>
      </c>
    </row>
    <row r="9" spans="2:11" x14ac:dyDescent="0.3">
      <c r="B9" s="4" t="s">
        <v>263</v>
      </c>
      <c r="C9" s="5">
        <v>3</v>
      </c>
      <c r="D9" s="5">
        <v>2</v>
      </c>
      <c r="E9" s="5">
        <v>11.61</v>
      </c>
      <c r="F9" s="17">
        <v>1.5</v>
      </c>
      <c r="G9" s="5">
        <v>3</v>
      </c>
      <c r="H9" s="5" t="s">
        <v>11</v>
      </c>
      <c r="I9" s="5" t="s">
        <v>11</v>
      </c>
      <c r="J9" s="5" t="s">
        <v>11</v>
      </c>
      <c r="K9" s="5" t="s">
        <v>11</v>
      </c>
    </row>
    <row r="10" spans="2:11" x14ac:dyDescent="0.3">
      <c r="B10" s="4" t="s">
        <v>264</v>
      </c>
      <c r="C10" s="5">
        <v>4</v>
      </c>
      <c r="D10" s="5">
        <v>4</v>
      </c>
      <c r="E10" s="5">
        <v>84.65</v>
      </c>
      <c r="F10" s="5" t="s">
        <v>280</v>
      </c>
      <c r="G10" s="17">
        <v>1.5</v>
      </c>
      <c r="H10" s="5" t="s">
        <v>11</v>
      </c>
      <c r="I10" s="5" t="s">
        <v>11</v>
      </c>
      <c r="J10" s="5" t="s">
        <v>11</v>
      </c>
      <c r="K10" s="5" t="s">
        <v>11</v>
      </c>
    </row>
    <row r="11" spans="2:11" x14ac:dyDescent="0.3">
      <c r="B11" s="4" t="s">
        <v>265</v>
      </c>
      <c r="C11" s="5">
        <v>4</v>
      </c>
      <c r="D11" s="5">
        <v>4</v>
      </c>
      <c r="E11" s="5">
        <v>11.61</v>
      </c>
      <c r="F11" s="5" t="s">
        <v>11</v>
      </c>
      <c r="G11" s="5" t="s">
        <v>11</v>
      </c>
      <c r="H11" s="5" t="s">
        <v>11</v>
      </c>
      <c r="I11" s="5" t="s">
        <v>11</v>
      </c>
      <c r="J11" s="5" t="s">
        <v>11</v>
      </c>
      <c r="K11" s="5" t="s">
        <v>11</v>
      </c>
    </row>
    <row r="12" spans="2:11" x14ac:dyDescent="0.3">
      <c r="B12" s="4" t="s">
        <v>266</v>
      </c>
      <c r="C12" s="5">
        <v>198.03</v>
      </c>
      <c r="D12" s="5">
        <v>1.77</v>
      </c>
      <c r="E12" s="5">
        <v>10.6</v>
      </c>
      <c r="F12" s="5">
        <v>3</v>
      </c>
      <c r="G12" s="5">
        <v>7.78</v>
      </c>
      <c r="H12" s="5">
        <v>8</v>
      </c>
      <c r="I12" s="5">
        <v>6</v>
      </c>
      <c r="J12" s="5">
        <v>27.36</v>
      </c>
      <c r="K12" s="5">
        <v>4.33</v>
      </c>
    </row>
    <row r="13" spans="2:11" x14ac:dyDescent="0.3">
      <c r="B13" s="4" t="s">
        <v>267</v>
      </c>
      <c r="C13" s="5">
        <v>1.22</v>
      </c>
      <c r="D13" s="5">
        <v>2.0099999999999998</v>
      </c>
      <c r="E13" s="23">
        <v>0.3125</v>
      </c>
      <c r="F13" s="5">
        <v>1.06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</row>
    <row r="14" spans="2:11" x14ac:dyDescent="0.3">
      <c r="B14" s="4" t="s">
        <v>268</v>
      </c>
      <c r="C14" s="5">
        <v>9.4499999999999993</v>
      </c>
      <c r="D14" s="5">
        <v>3.79</v>
      </c>
      <c r="E14" s="5">
        <v>4.21</v>
      </c>
      <c r="F14" s="5">
        <v>24.02</v>
      </c>
      <c r="G14" s="17">
        <v>2.5</v>
      </c>
      <c r="H14" s="23">
        <v>0.1875</v>
      </c>
      <c r="I14" s="5">
        <v>6</v>
      </c>
      <c r="J14" s="5" t="s">
        <v>11</v>
      </c>
      <c r="K14" s="5" t="s">
        <v>11</v>
      </c>
    </row>
    <row r="15" spans="2:11" x14ac:dyDescent="0.3">
      <c r="B15" s="4" t="s">
        <v>269</v>
      </c>
      <c r="C15" s="17">
        <v>0.5</v>
      </c>
      <c r="D15" s="5">
        <v>1.79</v>
      </c>
      <c r="E15" s="5">
        <v>3.54</v>
      </c>
      <c r="F15" s="5">
        <v>5.33</v>
      </c>
      <c r="G15" s="5">
        <v>3.58</v>
      </c>
      <c r="H15" s="5" t="s">
        <v>11</v>
      </c>
      <c r="I15" s="5" t="s">
        <v>11</v>
      </c>
      <c r="J15" s="5" t="s">
        <v>11</v>
      </c>
      <c r="K15" s="5" t="s">
        <v>11</v>
      </c>
    </row>
    <row r="16" spans="2:11" x14ac:dyDescent="0.3">
      <c r="B16" s="4" t="s">
        <v>270</v>
      </c>
      <c r="C16" s="5">
        <v>91.73</v>
      </c>
      <c r="D16" s="5">
        <v>8</v>
      </c>
      <c r="E16" s="17">
        <v>0.5</v>
      </c>
      <c r="F16" s="5">
        <v>6</v>
      </c>
      <c r="G16" s="5" t="s">
        <v>11</v>
      </c>
      <c r="H16" s="5" t="s">
        <v>11</v>
      </c>
      <c r="I16" s="5" t="s">
        <v>11</v>
      </c>
      <c r="J16" s="5" t="s">
        <v>11</v>
      </c>
      <c r="K16" s="5" t="s">
        <v>11</v>
      </c>
    </row>
    <row r="17" spans="2:11" x14ac:dyDescent="0.3">
      <c r="B17" s="4" t="s">
        <v>271</v>
      </c>
      <c r="C17" s="17">
        <v>9.25</v>
      </c>
      <c r="D17" s="5" t="s">
        <v>247</v>
      </c>
      <c r="E17" s="17">
        <v>7.25</v>
      </c>
      <c r="F17" s="5">
        <v>112.99</v>
      </c>
      <c r="G17" s="5">
        <v>3.15</v>
      </c>
      <c r="H17" s="5" t="s">
        <v>11</v>
      </c>
      <c r="I17" s="5" t="s">
        <v>11</v>
      </c>
      <c r="J17" s="5" t="s">
        <v>11</v>
      </c>
      <c r="K17" s="5" t="s">
        <v>11</v>
      </c>
    </row>
    <row r="18" spans="2:11" x14ac:dyDescent="0.3">
      <c r="B18" s="47" t="s">
        <v>272</v>
      </c>
      <c r="C18" s="48">
        <v>101.6</v>
      </c>
      <c r="D18" s="48">
        <v>101.6</v>
      </c>
      <c r="E18" s="48">
        <v>30</v>
      </c>
      <c r="F18" s="48">
        <v>30</v>
      </c>
      <c r="G18" s="48">
        <v>50.8</v>
      </c>
      <c r="H18" s="48">
        <v>1110</v>
      </c>
      <c r="I18" s="48">
        <v>20</v>
      </c>
      <c r="J18" s="48">
        <v>60</v>
      </c>
      <c r="K18" s="48" t="s">
        <v>11</v>
      </c>
    </row>
    <row r="19" spans="2:11" x14ac:dyDescent="0.3">
      <c r="B19" s="47" t="s">
        <v>273</v>
      </c>
      <c r="C19" s="48">
        <v>19.100000000000001</v>
      </c>
      <c r="D19" s="48">
        <v>74.900000000000006</v>
      </c>
      <c r="E19" s="48">
        <v>88.9</v>
      </c>
      <c r="F19" s="48">
        <v>88.9</v>
      </c>
      <c r="G19" s="48">
        <v>1020</v>
      </c>
      <c r="H19" s="48">
        <v>15</v>
      </c>
      <c r="I19" s="48">
        <v>60</v>
      </c>
      <c r="J19" s="48">
        <v>14.5</v>
      </c>
      <c r="K19" s="48" t="s">
        <v>11</v>
      </c>
    </row>
    <row r="20" spans="2:11" x14ac:dyDescent="0.3">
      <c r="B20" s="4" t="s">
        <v>274</v>
      </c>
      <c r="C20" s="5">
        <v>7.87</v>
      </c>
      <c r="D20" s="5">
        <v>23.62</v>
      </c>
      <c r="E20" s="5">
        <v>7.48</v>
      </c>
      <c r="F20" s="5">
        <v>14</v>
      </c>
      <c r="G20" s="5">
        <v>3.06</v>
      </c>
      <c r="H20" s="5">
        <v>1</v>
      </c>
      <c r="I20" s="5">
        <v>3</v>
      </c>
      <c r="J20" s="5">
        <v>4.72</v>
      </c>
      <c r="K20" s="5">
        <v>3.26</v>
      </c>
    </row>
    <row r="21" spans="2:11" x14ac:dyDescent="0.3">
      <c r="B21" s="47" t="s">
        <v>275</v>
      </c>
      <c r="C21" s="48">
        <v>1550</v>
      </c>
      <c r="D21" s="48">
        <v>101.6</v>
      </c>
      <c r="E21" s="48">
        <v>50.8</v>
      </c>
      <c r="F21" s="48">
        <v>50.8</v>
      </c>
      <c r="G21" s="48">
        <v>40</v>
      </c>
      <c r="H21" s="48">
        <v>30.8</v>
      </c>
      <c r="I21" s="48" t="s">
        <v>11</v>
      </c>
      <c r="J21" s="48" t="s">
        <v>11</v>
      </c>
      <c r="K21" s="48" t="s">
        <v>11</v>
      </c>
    </row>
    <row r="22" spans="2:11" x14ac:dyDescent="0.3">
      <c r="B22" s="47" t="s">
        <v>276</v>
      </c>
      <c r="C22" s="48">
        <v>200</v>
      </c>
      <c r="D22" s="48">
        <v>90</v>
      </c>
      <c r="E22" s="48">
        <v>30.2</v>
      </c>
      <c r="F22" s="48">
        <v>15.9</v>
      </c>
      <c r="G22" s="48">
        <v>149.4</v>
      </c>
      <c r="H22" s="48">
        <v>7.9</v>
      </c>
      <c r="I22" s="48" t="s">
        <v>11</v>
      </c>
      <c r="J22" s="48" t="s">
        <v>11</v>
      </c>
      <c r="K22" s="48" t="s">
        <v>11</v>
      </c>
    </row>
    <row r="23" spans="2:11" x14ac:dyDescent="0.3">
      <c r="B23" s="48" t="s">
        <v>277</v>
      </c>
      <c r="C23" s="48">
        <v>20</v>
      </c>
      <c r="D23" s="48">
        <v>15.9</v>
      </c>
      <c r="E23" s="48" t="s">
        <v>11</v>
      </c>
      <c r="F23" s="48" t="s">
        <v>11</v>
      </c>
      <c r="G23" s="48" t="s">
        <v>11</v>
      </c>
      <c r="H23" s="48" t="s">
        <v>11</v>
      </c>
      <c r="I23" s="48" t="s">
        <v>11</v>
      </c>
      <c r="J23" s="48" t="s">
        <v>11</v>
      </c>
      <c r="K23" s="48" t="s">
        <v>11</v>
      </c>
    </row>
    <row r="24" spans="2:11" x14ac:dyDescent="0.3">
      <c r="B24" s="48" t="s">
        <v>278</v>
      </c>
      <c r="C24" s="48">
        <v>147</v>
      </c>
      <c r="D24" s="48">
        <v>30.2</v>
      </c>
      <c r="E24" s="48" t="s">
        <v>11</v>
      </c>
      <c r="F24" s="48" t="s">
        <v>11</v>
      </c>
      <c r="G24" s="48" t="s">
        <v>11</v>
      </c>
      <c r="H24" s="48" t="s">
        <v>11</v>
      </c>
      <c r="I24" s="48" t="s">
        <v>11</v>
      </c>
      <c r="J24" s="48" t="s">
        <v>11</v>
      </c>
      <c r="K24" s="48" t="s">
        <v>11</v>
      </c>
    </row>
    <row r="25" spans="2:11" x14ac:dyDescent="0.3">
      <c r="B25" s="5" t="s">
        <v>279</v>
      </c>
      <c r="C25" s="5">
        <v>40.71</v>
      </c>
      <c r="D25" s="5">
        <v>43.31</v>
      </c>
      <c r="E25" s="5">
        <v>2</v>
      </c>
      <c r="F25" s="5">
        <v>2.36</v>
      </c>
      <c r="G25" s="5">
        <v>2.36</v>
      </c>
      <c r="H25" s="5">
        <v>0.59</v>
      </c>
      <c r="I25" s="23">
        <v>0.6875</v>
      </c>
      <c r="J25" s="17">
        <v>0.25</v>
      </c>
      <c r="K25" s="5" t="s">
        <v>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864A4-176A-4FF8-9B37-963CFFD57B77}">
  <sheetPr codeName="Sheet5">
    <tabColor theme="0" tint="-0.14999847407452621"/>
  </sheetPr>
  <dimension ref="B1:B237"/>
  <sheetViews>
    <sheetView workbookViewId="0">
      <selection activeCell="B1" sqref="B1"/>
    </sheetView>
  </sheetViews>
  <sheetFormatPr defaultRowHeight="14.4" x14ac:dyDescent="0.3"/>
  <cols>
    <col min="2" max="2" width="66.77734375" style="60" customWidth="1"/>
  </cols>
  <sheetData>
    <row r="1" spans="2:2" x14ac:dyDescent="0.3">
      <c r="B1" s="54" t="s">
        <v>0</v>
      </c>
    </row>
    <row r="2" spans="2:2" x14ac:dyDescent="0.3">
      <c r="B2" s="55" t="s">
        <v>10</v>
      </c>
    </row>
    <row r="3" spans="2:2" x14ac:dyDescent="0.3">
      <c r="B3" s="55" t="s">
        <v>76</v>
      </c>
    </row>
    <row r="4" spans="2:2" x14ac:dyDescent="0.3">
      <c r="B4" s="55" t="s">
        <v>284</v>
      </c>
    </row>
    <row r="5" spans="2:2" x14ac:dyDescent="0.3">
      <c r="B5" s="55" t="s">
        <v>13</v>
      </c>
    </row>
    <row r="6" spans="2:2" x14ac:dyDescent="0.3">
      <c r="B6" s="55" t="s">
        <v>15</v>
      </c>
    </row>
    <row r="7" spans="2:2" x14ac:dyDescent="0.3">
      <c r="B7" s="55" t="s">
        <v>16</v>
      </c>
    </row>
    <row r="8" spans="2:2" x14ac:dyDescent="0.3">
      <c r="B8" s="55" t="s">
        <v>285</v>
      </c>
    </row>
    <row r="9" spans="2:2" x14ac:dyDescent="0.3">
      <c r="B9" s="55" t="s">
        <v>18</v>
      </c>
    </row>
    <row r="10" spans="2:2" x14ac:dyDescent="0.3">
      <c r="B10" s="55" t="s">
        <v>19</v>
      </c>
    </row>
    <row r="11" spans="2:2" x14ac:dyDescent="0.3">
      <c r="B11" s="55" t="s">
        <v>21</v>
      </c>
    </row>
    <row r="12" spans="2:2" x14ac:dyDescent="0.3">
      <c r="B12" s="55" t="s">
        <v>283</v>
      </c>
    </row>
    <row r="13" spans="2:2" x14ac:dyDescent="0.3">
      <c r="B13" s="55" t="s">
        <v>286</v>
      </c>
    </row>
    <row r="14" spans="2:2" x14ac:dyDescent="0.3">
      <c r="B14" s="55" t="s">
        <v>287</v>
      </c>
    </row>
    <row r="15" spans="2:2" x14ac:dyDescent="0.3">
      <c r="B15" s="55" t="s">
        <v>288</v>
      </c>
    </row>
    <row r="16" spans="2:2" x14ac:dyDescent="0.3">
      <c r="B16" s="55" t="s">
        <v>289</v>
      </c>
    </row>
    <row r="17" spans="2:2" x14ac:dyDescent="0.3">
      <c r="B17" s="55" t="s">
        <v>25</v>
      </c>
    </row>
    <row r="18" spans="2:2" x14ac:dyDescent="0.3">
      <c r="B18" s="55" t="s">
        <v>290</v>
      </c>
    </row>
    <row r="19" spans="2:2" x14ac:dyDescent="0.3">
      <c r="B19" s="55" t="s">
        <v>291</v>
      </c>
    </row>
    <row r="20" spans="2:2" x14ac:dyDescent="0.3">
      <c r="B20" s="55" t="s">
        <v>292</v>
      </c>
    </row>
    <row r="21" spans="2:2" x14ac:dyDescent="0.3">
      <c r="B21" s="55" t="s">
        <v>293</v>
      </c>
    </row>
    <row r="22" spans="2:2" x14ac:dyDescent="0.3">
      <c r="B22" s="55" t="s">
        <v>294</v>
      </c>
    </row>
    <row r="23" spans="2:2" x14ac:dyDescent="0.3">
      <c r="B23" s="55" t="s">
        <v>26</v>
      </c>
    </row>
    <row r="24" spans="2:2" x14ac:dyDescent="0.3">
      <c r="B24" s="55" t="s">
        <v>295</v>
      </c>
    </row>
    <row r="25" spans="2:2" x14ac:dyDescent="0.3">
      <c r="B25" s="55" t="s">
        <v>28</v>
      </c>
    </row>
    <row r="26" spans="2:2" x14ac:dyDescent="0.3">
      <c r="B26" s="55" t="s">
        <v>29</v>
      </c>
    </row>
    <row r="27" spans="2:2" x14ac:dyDescent="0.3">
      <c r="B27" s="55" t="s">
        <v>296</v>
      </c>
    </row>
    <row r="28" spans="2:2" x14ac:dyDescent="0.3">
      <c r="B28" s="55" t="s">
        <v>30</v>
      </c>
    </row>
    <row r="29" spans="2:2" x14ac:dyDescent="0.3">
      <c r="B29" s="55" t="s">
        <v>297</v>
      </c>
    </row>
    <row r="30" spans="2:2" x14ac:dyDescent="0.3">
      <c r="B30" s="55" t="s">
        <v>298</v>
      </c>
    </row>
    <row r="31" spans="2:2" x14ac:dyDescent="0.3">
      <c r="B31" s="55" t="s">
        <v>299</v>
      </c>
    </row>
    <row r="32" spans="2:2" x14ac:dyDescent="0.3">
      <c r="B32" s="55" t="s">
        <v>300</v>
      </c>
    </row>
    <row r="33" spans="2:2" x14ac:dyDescent="0.3">
      <c r="B33" s="55" t="s">
        <v>75</v>
      </c>
    </row>
    <row r="34" spans="2:2" x14ac:dyDescent="0.3">
      <c r="B34" s="55" t="s">
        <v>301</v>
      </c>
    </row>
    <row r="35" spans="2:2" x14ac:dyDescent="0.3">
      <c r="B35" s="55" t="s">
        <v>302</v>
      </c>
    </row>
    <row r="36" spans="2:2" x14ac:dyDescent="0.3">
      <c r="B36" s="55" t="s">
        <v>303</v>
      </c>
    </row>
    <row r="37" spans="2:2" x14ac:dyDescent="0.3">
      <c r="B37" s="55" t="s">
        <v>304</v>
      </c>
    </row>
    <row r="38" spans="2:2" x14ac:dyDescent="0.3">
      <c r="B38" s="55" t="s">
        <v>305</v>
      </c>
    </row>
    <row r="39" spans="2:2" x14ac:dyDescent="0.3">
      <c r="B39" s="55" t="s">
        <v>306</v>
      </c>
    </row>
    <row r="40" spans="2:2" x14ac:dyDescent="0.3">
      <c r="B40" s="55" t="s">
        <v>31</v>
      </c>
    </row>
    <row r="41" spans="2:2" x14ac:dyDescent="0.3">
      <c r="B41" s="55" t="s">
        <v>307</v>
      </c>
    </row>
    <row r="42" spans="2:2" x14ac:dyDescent="0.3">
      <c r="B42" s="55" t="s">
        <v>32</v>
      </c>
    </row>
    <row r="43" spans="2:2" x14ac:dyDescent="0.3">
      <c r="B43" s="55" t="s">
        <v>33</v>
      </c>
    </row>
    <row r="44" spans="2:2" x14ac:dyDescent="0.3">
      <c r="B44" s="55" t="s">
        <v>34</v>
      </c>
    </row>
    <row r="45" spans="2:2" x14ac:dyDescent="0.3">
      <c r="B45" s="55" t="s">
        <v>35</v>
      </c>
    </row>
    <row r="46" spans="2:2" x14ac:dyDescent="0.3">
      <c r="B46" s="55" t="s">
        <v>36</v>
      </c>
    </row>
    <row r="47" spans="2:2" x14ac:dyDescent="0.3">
      <c r="B47" s="55" t="s">
        <v>37</v>
      </c>
    </row>
    <row r="48" spans="2:2" x14ac:dyDescent="0.3">
      <c r="B48" s="55" t="s">
        <v>38</v>
      </c>
    </row>
    <row r="49" spans="2:2" x14ac:dyDescent="0.3">
      <c r="B49" s="55" t="s">
        <v>39</v>
      </c>
    </row>
    <row r="50" spans="2:2" x14ac:dyDescent="0.3">
      <c r="B50" s="55" t="s">
        <v>40</v>
      </c>
    </row>
    <row r="51" spans="2:2" x14ac:dyDescent="0.3">
      <c r="B51" s="55" t="s">
        <v>41</v>
      </c>
    </row>
    <row r="52" spans="2:2" x14ac:dyDescent="0.3">
      <c r="B52" s="55" t="s">
        <v>42</v>
      </c>
    </row>
    <row r="53" spans="2:2" x14ac:dyDescent="0.3">
      <c r="B53" s="55" t="s">
        <v>43</v>
      </c>
    </row>
    <row r="54" spans="2:2" x14ac:dyDescent="0.3">
      <c r="B54" s="55" t="s">
        <v>44</v>
      </c>
    </row>
    <row r="55" spans="2:2" x14ac:dyDescent="0.3">
      <c r="B55" s="55" t="s">
        <v>45</v>
      </c>
    </row>
    <row r="56" spans="2:2" x14ac:dyDescent="0.3">
      <c r="B56" s="55" t="s">
        <v>46</v>
      </c>
    </row>
    <row r="57" spans="2:2" x14ac:dyDescent="0.3">
      <c r="B57" s="55" t="s">
        <v>47</v>
      </c>
    </row>
    <row r="58" spans="2:2" x14ac:dyDescent="0.3">
      <c r="B58" s="55" t="s">
        <v>49</v>
      </c>
    </row>
    <row r="59" spans="2:2" x14ac:dyDescent="0.3">
      <c r="B59" s="55" t="s">
        <v>50</v>
      </c>
    </row>
    <row r="60" spans="2:2" x14ac:dyDescent="0.3">
      <c r="B60" s="55" t="s">
        <v>51</v>
      </c>
    </row>
    <row r="61" spans="2:2" x14ac:dyDescent="0.3">
      <c r="B61" s="55" t="s">
        <v>52</v>
      </c>
    </row>
    <row r="62" spans="2:2" x14ac:dyDescent="0.3">
      <c r="B62" s="55" t="s">
        <v>53</v>
      </c>
    </row>
    <row r="63" spans="2:2" x14ac:dyDescent="0.3">
      <c r="B63" s="55" t="s">
        <v>54</v>
      </c>
    </row>
    <row r="64" spans="2:2" x14ac:dyDescent="0.3">
      <c r="B64" s="55" t="s">
        <v>55</v>
      </c>
    </row>
    <row r="65" spans="2:2" x14ac:dyDescent="0.3">
      <c r="B65" s="55" t="s">
        <v>56</v>
      </c>
    </row>
    <row r="66" spans="2:2" x14ac:dyDescent="0.3">
      <c r="B66" s="55" t="s">
        <v>57</v>
      </c>
    </row>
    <row r="67" spans="2:2" x14ac:dyDescent="0.3">
      <c r="B67" s="55" t="s">
        <v>58</v>
      </c>
    </row>
    <row r="68" spans="2:2" x14ac:dyDescent="0.3">
      <c r="B68" s="55" t="s">
        <v>59</v>
      </c>
    </row>
    <row r="69" spans="2:2" x14ac:dyDescent="0.3">
      <c r="B69" s="55" t="s">
        <v>60</v>
      </c>
    </row>
    <row r="70" spans="2:2" x14ac:dyDescent="0.3">
      <c r="B70" s="55" t="s">
        <v>61</v>
      </c>
    </row>
    <row r="71" spans="2:2" x14ac:dyDescent="0.3">
      <c r="B71" s="55" t="s">
        <v>62</v>
      </c>
    </row>
    <row r="72" spans="2:2" x14ac:dyDescent="0.3">
      <c r="B72" s="55" t="s">
        <v>63</v>
      </c>
    </row>
    <row r="73" spans="2:2" x14ac:dyDescent="0.3">
      <c r="B73" s="55" t="s">
        <v>64</v>
      </c>
    </row>
    <row r="74" spans="2:2" x14ac:dyDescent="0.3">
      <c r="B74" s="55" t="s">
        <v>65</v>
      </c>
    </row>
    <row r="75" spans="2:2" x14ac:dyDescent="0.3">
      <c r="B75" s="55" t="s">
        <v>66</v>
      </c>
    </row>
    <row r="76" spans="2:2" x14ac:dyDescent="0.3">
      <c r="B76" s="55" t="s">
        <v>67</v>
      </c>
    </row>
    <row r="77" spans="2:2" x14ac:dyDescent="0.3">
      <c r="B77" s="55" t="s">
        <v>68</v>
      </c>
    </row>
    <row r="78" spans="2:2" x14ac:dyDescent="0.3">
      <c r="B78" s="55" t="s">
        <v>69</v>
      </c>
    </row>
    <row r="79" spans="2:2" x14ac:dyDescent="0.3">
      <c r="B79" s="55" t="s">
        <v>70</v>
      </c>
    </row>
    <row r="80" spans="2:2" x14ac:dyDescent="0.3">
      <c r="B80" s="55" t="s">
        <v>71</v>
      </c>
    </row>
    <row r="81" spans="2:2" x14ac:dyDescent="0.3">
      <c r="B81" s="55" t="s">
        <v>72</v>
      </c>
    </row>
    <row r="82" spans="2:2" x14ac:dyDescent="0.3">
      <c r="B82" s="55" t="s">
        <v>73</v>
      </c>
    </row>
    <row r="83" spans="2:2" x14ac:dyDescent="0.3">
      <c r="B83" s="55" t="s">
        <v>74</v>
      </c>
    </row>
    <row r="84" spans="2:2" x14ac:dyDescent="0.3">
      <c r="B84" s="55" t="s">
        <v>75</v>
      </c>
    </row>
    <row r="85" spans="2:2" x14ac:dyDescent="0.3">
      <c r="B85" s="55" t="s">
        <v>76</v>
      </c>
    </row>
    <row r="86" spans="2:2" x14ac:dyDescent="0.3">
      <c r="B86" s="55" t="s">
        <v>77</v>
      </c>
    </row>
    <row r="87" spans="2:2" x14ac:dyDescent="0.3">
      <c r="B87" s="55" t="s">
        <v>78</v>
      </c>
    </row>
    <row r="88" spans="2:2" x14ac:dyDescent="0.3">
      <c r="B88" s="55" t="s">
        <v>79</v>
      </c>
    </row>
    <row r="89" spans="2:2" x14ac:dyDescent="0.3">
      <c r="B89" s="55" t="s">
        <v>80</v>
      </c>
    </row>
    <row r="90" spans="2:2" x14ac:dyDescent="0.3">
      <c r="B90" s="55" t="s">
        <v>81</v>
      </c>
    </row>
    <row r="91" spans="2:2" x14ac:dyDescent="0.3">
      <c r="B91" s="55" t="s">
        <v>82</v>
      </c>
    </row>
    <row r="92" spans="2:2" x14ac:dyDescent="0.3">
      <c r="B92" s="55" t="s">
        <v>83</v>
      </c>
    </row>
    <row r="93" spans="2:2" x14ac:dyDescent="0.3">
      <c r="B93" s="55" t="s">
        <v>84</v>
      </c>
    </row>
    <row r="94" spans="2:2" x14ac:dyDescent="0.3">
      <c r="B94" s="55" t="s">
        <v>85</v>
      </c>
    </row>
    <row r="95" spans="2:2" x14ac:dyDescent="0.3">
      <c r="B95" s="55" t="s">
        <v>86</v>
      </c>
    </row>
    <row r="96" spans="2:2" x14ac:dyDescent="0.3">
      <c r="B96" s="55" t="s">
        <v>87</v>
      </c>
    </row>
    <row r="97" spans="2:2" x14ac:dyDescent="0.3">
      <c r="B97" s="55" t="s">
        <v>88</v>
      </c>
    </row>
    <row r="98" spans="2:2" x14ac:dyDescent="0.3">
      <c r="B98" s="55" t="s">
        <v>89</v>
      </c>
    </row>
    <row r="99" spans="2:2" x14ac:dyDescent="0.3">
      <c r="B99" s="55" t="s">
        <v>90</v>
      </c>
    </row>
    <row r="100" spans="2:2" x14ac:dyDescent="0.3">
      <c r="B100" s="55" t="s">
        <v>91</v>
      </c>
    </row>
    <row r="101" spans="2:2" x14ac:dyDescent="0.3">
      <c r="B101" s="55" t="s">
        <v>92</v>
      </c>
    </row>
    <row r="102" spans="2:2" x14ac:dyDescent="0.3">
      <c r="B102" s="55" t="s">
        <v>93</v>
      </c>
    </row>
    <row r="103" spans="2:2" x14ac:dyDescent="0.3">
      <c r="B103" s="55" t="s">
        <v>94</v>
      </c>
    </row>
    <row r="104" spans="2:2" x14ac:dyDescent="0.3">
      <c r="B104" s="55" t="s">
        <v>95</v>
      </c>
    </row>
    <row r="105" spans="2:2" x14ac:dyDescent="0.3">
      <c r="B105" s="55" t="s">
        <v>96</v>
      </c>
    </row>
    <row r="106" spans="2:2" x14ac:dyDescent="0.3">
      <c r="B106" s="55" t="s">
        <v>97</v>
      </c>
    </row>
    <row r="107" spans="2:2" x14ac:dyDescent="0.3">
      <c r="B107" s="55" t="s">
        <v>98</v>
      </c>
    </row>
    <row r="108" spans="2:2" x14ac:dyDescent="0.3">
      <c r="B108" s="55" t="s">
        <v>99</v>
      </c>
    </row>
    <row r="109" spans="2:2" x14ac:dyDescent="0.3">
      <c r="B109" s="55" t="s">
        <v>100</v>
      </c>
    </row>
    <row r="110" spans="2:2" x14ac:dyDescent="0.3">
      <c r="B110" s="55" t="s">
        <v>101</v>
      </c>
    </row>
    <row r="111" spans="2:2" x14ac:dyDescent="0.3">
      <c r="B111" s="55" t="s">
        <v>102</v>
      </c>
    </row>
    <row r="112" spans="2:2" x14ac:dyDescent="0.3">
      <c r="B112" s="55" t="s">
        <v>103</v>
      </c>
    </row>
    <row r="113" spans="2:2" x14ac:dyDescent="0.3">
      <c r="B113" s="55" t="s">
        <v>104</v>
      </c>
    </row>
    <row r="114" spans="2:2" x14ac:dyDescent="0.3">
      <c r="B114" s="55" t="s">
        <v>105</v>
      </c>
    </row>
    <row r="115" spans="2:2" x14ac:dyDescent="0.3">
      <c r="B115" s="55" t="s">
        <v>106</v>
      </c>
    </row>
    <row r="116" spans="2:2" x14ac:dyDescent="0.3">
      <c r="B116" s="56" t="s">
        <v>107</v>
      </c>
    </row>
    <row r="117" spans="2:2" x14ac:dyDescent="0.3">
      <c r="B117" s="55" t="s">
        <v>108</v>
      </c>
    </row>
    <row r="118" spans="2:2" x14ac:dyDescent="0.3">
      <c r="B118" s="57" t="s">
        <v>115</v>
      </c>
    </row>
    <row r="119" spans="2:2" x14ac:dyDescent="0.3">
      <c r="B119" s="57" t="s">
        <v>116</v>
      </c>
    </row>
    <row r="120" spans="2:2" x14ac:dyDescent="0.3">
      <c r="B120" s="57" t="s">
        <v>117</v>
      </c>
    </row>
    <row r="121" spans="2:2" x14ac:dyDescent="0.3">
      <c r="B121" s="57" t="s">
        <v>118</v>
      </c>
    </row>
    <row r="122" spans="2:2" x14ac:dyDescent="0.3">
      <c r="B122" s="57" t="s">
        <v>119</v>
      </c>
    </row>
    <row r="123" spans="2:2" x14ac:dyDescent="0.3">
      <c r="B123" s="57" t="s">
        <v>120</v>
      </c>
    </row>
    <row r="124" spans="2:2" x14ac:dyDescent="0.3">
      <c r="B124" s="57" t="s">
        <v>121</v>
      </c>
    </row>
    <row r="125" spans="2:2" x14ac:dyDescent="0.3">
      <c r="B125" s="57" t="s">
        <v>122</v>
      </c>
    </row>
    <row r="126" spans="2:2" x14ac:dyDescent="0.3">
      <c r="B126" s="57" t="s">
        <v>123</v>
      </c>
    </row>
    <row r="127" spans="2:2" x14ac:dyDescent="0.3">
      <c r="B127" s="57" t="s">
        <v>124</v>
      </c>
    </row>
    <row r="128" spans="2:2" x14ac:dyDescent="0.3">
      <c r="B128" s="57" t="s">
        <v>125</v>
      </c>
    </row>
    <row r="129" spans="2:2" x14ac:dyDescent="0.3">
      <c r="B129" s="57" t="s">
        <v>126</v>
      </c>
    </row>
    <row r="130" spans="2:2" x14ac:dyDescent="0.3">
      <c r="B130" s="57" t="s">
        <v>127</v>
      </c>
    </row>
    <row r="131" spans="2:2" x14ac:dyDescent="0.3">
      <c r="B131" s="57" t="s">
        <v>128</v>
      </c>
    </row>
    <row r="132" spans="2:2" x14ac:dyDescent="0.3">
      <c r="B132" s="57" t="s">
        <v>129</v>
      </c>
    </row>
    <row r="133" spans="2:2" x14ac:dyDescent="0.3">
      <c r="B133" s="57" t="s">
        <v>130</v>
      </c>
    </row>
    <row r="134" spans="2:2" x14ac:dyDescent="0.3">
      <c r="B134" s="57" t="s">
        <v>131</v>
      </c>
    </row>
    <row r="135" spans="2:2" x14ac:dyDescent="0.3">
      <c r="B135" s="57" t="s">
        <v>132</v>
      </c>
    </row>
    <row r="136" spans="2:2" x14ac:dyDescent="0.3">
      <c r="B136" s="57" t="s">
        <v>133</v>
      </c>
    </row>
    <row r="137" spans="2:2" x14ac:dyDescent="0.3">
      <c r="B137" s="57" t="s">
        <v>134</v>
      </c>
    </row>
    <row r="138" spans="2:2" x14ac:dyDescent="0.3">
      <c r="B138" s="57" t="s">
        <v>135</v>
      </c>
    </row>
    <row r="139" spans="2:2" x14ac:dyDescent="0.3">
      <c r="B139" s="57" t="s">
        <v>136</v>
      </c>
    </row>
    <row r="140" spans="2:2" x14ac:dyDescent="0.3">
      <c r="B140" s="57" t="s">
        <v>137</v>
      </c>
    </row>
    <row r="141" spans="2:2" x14ac:dyDescent="0.3">
      <c r="B141" s="57" t="s">
        <v>138</v>
      </c>
    </row>
    <row r="142" spans="2:2" x14ac:dyDescent="0.3">
      <c r="B142" s="57" t="s">
        <v>139</v>
      </c>
    </row>
    <row r="143" spans="2:2" x14ac:dyDescent="0.3">
      <c r="B143" s="57" t="s">
        <v>140</v>
      </c>
    </row>
    <row r="144" spans="2:2" x14ac:dyDescent="0.3">
      <c r="B144" s="57" t="s">
        <v>141</v>
      </c>
    </row>
    <row r="145" spans="2:2" x14ac:dyDescent="0.3">
      <c r="B145" s="57" t="s">
        <v>142</v>
      </c>
    </row>
    <row r="146" spans="2:2" x14ac:dyDescent="0.3">
      <c r="B146" s="57" t="s">
        <v>143</v>
      </c>
    </row>
    <row r="147" spans="2:2" x14ac:dyDescent="0.3">
      <c r="B147" s="57" t="s">
        <v>144</v>
      </c>
    </row>
    <row r="148" spans="2:2" x14ac:dyDescent="0.3">
      <c r="B148" s="57" t="s">
        <v>145</v>
      </c>
    </row>
    <row r="149" spans="2:2" x14ac:dyDescent="0.3">
      <c r="B149" s="57" t="s">
        <v>146</v>
      </c>
    </row>
    <row r="150" spans="2:2" x14ac:dyDescent="0.3">
      <c r="B150" s="57" t="s">
        <v>147</v>
      </c>
    </row>
    <row r="151" spans="2:2" x14ac:dyDescent="0.3">
      <c r="B151" s="57" t="s">
        <v>148</v>
      </c>
    </row>
    <row r="152" spans="2:2" x14ac:dyDescent="0.3">
      <c r="B152" s="57" t="s">
        <v>149</v>
      </c>
    </row>
    <row r="153" spans="2:2" x14ac:dyDescent="0.3">
      <c r="B153" s="57" t="s">
        <v>150</v>
      </c>
    </row>
    <row r="154" spans="2:2" x14ac:dyDescent="0.3">
      <c r="B154" s="57" t="s">
        <v>151</v>
      </c>
    </row>
    <row r="155" spans="2:2" x14ac:dyDescent="0.3">
      <c r="B155" s="57" t="s">
        <v>152</v>
      </c>
    </row>
    <row r="156" spans="2:2" x14ac:dyDescent="0.3">
      <c r="B156" s="57" t="s">
        <v>153</v>
      </c>
    </row>
    <row r="157" spans="2:2" x14ac:dyDescent="0.3">
      <c r="B157" s="57" t="s">
        <v>154</v>
      </c>
    </row>
    <row r="158" spans="2:2" x14ac:dyDescent="0.3">
      <c r="B158" s="57" t="s">
        <v>155</v>
      </c>
    </row>
    <row r="159" spans="2:2" x14ac:dyDescent="0.3">
      <c r="B159" s="57" t="s">
        <v>156</v>
      </c>
    </row>
    <row r="160" spans="2:2" x14ac:dyDescent="0.3">
      <c r="B160" s="57" t="s">
        <v>157</v>
      </c>
    </row>
    <row r="161" spans="2:2" x14ac:dyDescent="0.3">
      <c r="B161" s="57" t="s">
        <v>158</v>
      </c>
    </row>
    <row r="162" spans="2:2" x14ac:dyDescent="0.3">
      <c r="B162" s="57" t="s">
        <v>159</v>
      </c>
    </row>
    <row r="163" spans="2:2" x14ac:dyDescent="0.3">
      <c r="B163" s="57" t="s">
        <v>160</v>
      </c>
    </row>
    <row r="164" spans="2:2" x14ac:dyDescent="0.3">
      <c r="B164" s="57" t="s">
        <v>161</v>
      </c>
    </row>
    <row r="165" spans="2:2" x14ac:dyDescent="0.3">
      <c r="B165" s="57" t="s">
        <v>162</v>
      </c>
    </row>
    <row r="166" spans="2:2" x14ac:dyDescent="0.3">
      <c r="B166" s="57" t="s">
        <v>163</v>
      </c>
    </row>
    <row r="167" spans="2:2" x14ac:dyDescent="0.3">
      <c r="B167" s="57" t="s">
        <v>164</v>
      </c>
    </row>
    <row r="168" spans="2:2" x14ac:dyDescent="0.3">
      <c r="B168" s="57" t="s">
        <v>165</v>
      </c>
    </row>
    <row r="169" spans="2:2" x14ac:dyDescent="0.3">
      <c r="B169" s="57" t="s">
        <v>166</v>
      </c>
    </row>
    <row r="170" spans="2:2" x14ac:dyDescent="0.3">
      <c r="B170" s="57" t="s">
        <v>167</v>
      </c>
    </row>
    <row r="171" spans="2:2" x14ac:dyDescent="0.3">
      <c r="B171" s="57" t="s">
        <v>168</v>
      </c>
    </row>
    <row r="172" spans="2:2" x14ac:dyDescent="0.3">
      <c r="B172" s="57" t="s">
        <v>169</v>
      </c>
    </row>
    <row r="173" spans="2:2" x14ac:dyDescent="0.3">
      <c r="B173" s="57" t="s">
        <v>170</v>
      </c>
    </row>
    <row r="174" spans="2:2" x14ac:dyDescent="0.3">
      <c r="B174" s="57" t="s">
        <v>171</v>
      </c>
    </row>
    <row r="175" spans="2:2" x14ac:dyDescent="0.3">
      <c r="B175" s="57" t="s">
        <v>172</v>
      </c>
    </row>
    <row r="176" spans="2:2" x14ac:dyDescent="0.3">
      <c r="B176" s="57" t="s">
        <v>173</v>
      </c>
    </row>
    <row r="177" spans="2:2" x14ac:dyDescent="0.3">
      <c r="B177" s="57" t="s">
        <v>174</v>
      </c>
    </row>
    <row r="178" spans="2:2" x14ac:dyDescent="0.3">
      <c r="B178" s="57" t="s">
        <v>175</v>
      </c>
    </row>
    <row r="179" spans="2:2" x14ac:dyDescent="0.3">
      <c r="B179" s="57" t="s">
        <v>176</v>
      </c>
    </row>
    <row r="180" spans="2:2" x14ac:dyDescent="0.3">
      <c r="B180" s="57" t="s">
        <v>177</v>
      </c>
    </row>
    <row r="181" spans="2:2" x14ac:dyDescent="0.3">
      <c r="B181" s="57" t="s">
        <v>178</v>
      </c>
    </row>
    <row r="182" spans="2:2" x14ac:dyDescent="0.3">
      <c r="B182" s="57" t="s">
        <v>179</v>
      </c>
    </row>
    <row r="183" spans="2:2" x14ac:dyDescent="0.3">
      <c r="B183" s="57" t="s">
        <v>180</v>
      </c>
    </row>
    <row r="184" spans="2:2" x14ac:dyDescent="0.3">
      <c r="B184" s="57" t="s">
        <v>181</v>
      </c>
    </row>
    <row r="185" spans="2:2" x14ac:dyDescent="0.3">
      <c r="B185" s="57" t="s">
        <v>182</v>
      </c>
    </row>
    <row r="186" spans="2:2" x14ac:dyDescent="0.3">
      <c r="B186" s="57" t="s">
        <v>134</v>
      </c>
    </row>
    <row r="187" spans="2:2" x14ac:dyDescent="0.3">
      <c r="B187" s="57" t="s">
        <v>183</v>
      </c>
    </row>
    <row r="188" spans="2:2" x14ac:dyDescent="0.3">
      <c r="B188" s="57" t="s">
        <v>184</v>
      </c>
    </row>
    <row r="189" spans="2:2" x14ac:dyDescent="0.3">
      <c r="B189" s="57" t="s">
        <v>185</v>
      </c>
    </row>
    <row r="190" spans="2:2" x14ac:dyDescent="0.3">
      <c r="B190" s="57" t="s">
        <v>186</v>
      </c>
    </row>
    <row r="191" spans="2:2" x14ac:dyDescent="0.3">
      <c r="B191" s="57" t="s">
        <v>187</v>
      </c>
    </row>
    <row r="192" spans="2:2" x14ac:dyDescent="0.3">
      <c r="B192" s="57" t="s">
        <v>188</v>
      </c>
    </row>
    <row r="193" spans="2:2" x14ac:dyDescent="0.3">
      <c r="B193" s="57" t="s">
        <v>92</v>
      </c>
    </row>
    <row r="194" spans="2:2" x14ac:dyDescent="0.3">
      <c r="B194" s="57" t="s">
        <v>189</v>
      </c>
    </row>
    <row r="195" spans="2:2" x14ac:dyDescent="0.3">
      <c r="B195" s="57" t="s">
        <v>190</v>
      </c>
    </row>
    <row r="196" spans="2:2" x14ac:dyDescent="0.3">
      <c r="B196" s="57" t="s">
        <v>191</v>
      </c>
    </row>
    <row r="197" spans="2:2" x14ac:dyDescent="0.3">
      <c r="B197" s="57" t="s">
        <v>192</v>
      </c>
    </row>
    <row r="198" spans="2:2" x14ac:dyDescent="0.3">
      <c r="B198" s="57" t="s">
        <v>193</v>
      </c>
    </row>
    <row r="199" spans="2:2" x14ac:dyDescent="0.3">
      <c r="B199" s="57" t="s">
        <v>194</v>
      </c>
    </row>
    <row r="200" spans="2:2" x14ac:dyDescent="0.3">
      <c r="B200" s="57" t="s">
        <v>195</v>
      </c>
    </row>
    <row r="201" spans="2:2" x14ac:dyDescent="0.3">
      <c r="B201" s="57" t="s">
        <v>196</v>
      </c>
    </row>
    <row r="202" spans="2:2" x14ac:dyDescent="0.3">
      <c r="B202" s="57" t="s">
        <v>197</v>
      </c>
    </row>
    <row r="203" spans="2:2" x14ac:dyDescent="0.3">
      <c r="B203" s="57" t="s">
        <v>198</v>
      </c>
    </row>
    <row r="204" spans="2:2" x14ac:dyDescent="0.3">
      <c r="B204" s="57" t="s">
        <v>199</v>
      </c>
    </row>
    <row r="205" spans="2:2" x14ac:dyDescent="0.3">
      <c r="B205" s="57" t="s">
        <v>201</v>
      </c>
    </row>
    <row r="206" spans="2:2" x14ac:dyDescent="0.3">
      <c r="B206" s="57" t="s">
        <v>168</v>
      </c>
    </row>
    <row r="207" spans="2:2" x14ac:dyDescent="0.3">
      <c r="B207" s="57" t="s">
        <v>204</v>
      </c>
    </row>
    <row r="208" spans="2:2" x14ac:dyDescent="0.3">
      <c r="B208" s="57" t="s">
        <v>204</v>
      </c>
    </row>
    <row r="209" spans="2:2" x14ac:dyDescent="0.3">
      <c r="B209" s="57" t="s">
        <v>211</v>
      </c>
    </row>
    <row r="210" spans="2:2" x14ac:dyDescent="0.3">
      <c r="B210" s="57" t="s">
        <v>216</v>
      </c>
    </row>
    <row r="211" spans="2:2" x14ac:dyDescent="0.3">
      <c r="B211" s="57" t="s">
        <v>217</v>
      </c>
    </row>
    <row r="212" spans="2:2" x14ac:dyDescent="0.3">
      <c r="B212" s="57" t="s">
        <v>218</v>
      </c>
    </row>
    <row r="213" spans="2:2" x14ac:dyDescent="0.3">
      <c r="B213" s="58" t="s">
        <v>256</v>
      </c>
    </row>
    <row r="214" spans="2:2" x14ac:dyDescent="0.3">
      <c r="B214" s="58" t="s">
        <v>257</v>
      </c>
    </row>
    <row r="215" spans="2:2" x14ac:dyDescent="0.3">
      <c r="B215" s="58" t="s">
        <v>258</v>
      </c>
    </row>
    <row r="216" spans="2:2" x14ac:dyDescent="0.3">
      <c r="B216" s="58" t="s">
        <v>259</v>
      </c>
    </row>
    <row r="217" spans="2:2" x14ac:dyDescent="0.3">
      <c r="B217" s="58" t="s">
        <v>260</v>
      </c>
    </row>
    <row r="218" spans="2:2" x14ac:dyDescent="0.3">
      <c r="B218" s="58" t="s">
        <v>261</v>
      </c>
    </row>
    <row r="219" spans="2:2" x14ac:dyDescent="0.3">
      <c r="B219" s="58" t="s">
        <v>262</v>
      </c>
    </row>
    <row r="220" spans="2:2" x14ac:dyDescent="0.3">
      <c r="B220" s="58" t="s">
        <v>263</v>
      </c>
    </row>
    <row r="221" spans="2:2" x14ac:dyDescent="0.3">
      <c r="B221" s="58" t="s">
        <v>264</v>
      </c>
    </row>
    <row r="222" spans="2:2" x14ac:dyDescent="0.3">
      <c r="B222" s="58" t="s">
        <v>265</v>
      </c>
    </row>
    <row r="223" spans="2:2" x14ac:dyDescent="0.3">
      <c r="B223" s="58" t="s">
        <v>266</v>
      </c>
    </row>
    <row r="224" spans="2:2" x14ac:dyDescent="0.3">
      <c r="B224" s="58" t="s">
        <v>267</v>
      </c>
    </row>
    <row r="225" spans="2:2" x14ac:dyDescent="0.3">
      <c r="B225" s="58" t="s">
        <v>268</v>
      </c>
    </row>
    <row r="226" spans="2:2" x14ac:dyDescent="0.3">
      <c r="B226" s="58" t="s">
        <v>269</v>
      </c>
    </row>
    <row r="227" spans="2:2" x14ac:dyDescent="0.3">
      <c r="B227" s="58" t="s">
        <v>270</v>
      </c>
    </row>
    <row r="228" spans="2:2" x14ac:dyDescent="0.3">
      <c r="B228" s="58" t="s">
        <v>271</v>
      </c>
    </row>
    <row r="229" spans="2:2" x14ac:dyDescent="0.3">
      <c r="B229" s="58" t="s">
        <v>272</v>
      </c>
    </row>
    <row r="230" spans="2:2" x14ac:dyDescent="0.3">
      <c r="B230" s="58" t="s">
        <v>273</v>
      </c>
    </row>
    <row r="231" spans="2:2" x14ac:dyDescent="0.3">
      <c r="B231" s="58" t="s">
        <v>274</v>
      </c>
    </row>
    <row r="232" spans="2:2" x14ac:dyDescent="0.3">
      <c r="B232" s="58" t="s">
        <v>275</v>
      </c>
    </row>
    <row r="233" spans="2:2" x14ac:dyDescent="0.3">
      <c r="B233" s="58" t="s">
        <v>276</v>
      </c>
    </row>
    <row r="234" spans="2:2" x14ac:dyDescent="0.3">
      <c r="B234" s="58" t="s">
        <v>277</v>
      </c>
    </row>
    <row r="235" spans="2:2" x14ac:dyDescent="0.3">
      <c r="B235" s="58" t="s">
        <v>278</v>
      </c>
    </row>
    <row r="236" spans="2:2" x14ac:dyDescent="0.3">
      <c r="B236" s="58" t="s">
        <v>279</v>
      </c>
    </row>
    <row r="237" spans="2:2" x14ac:dyDescent="0.3">
      <c r="B237" s="5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ctualizarListaPiezas">
                <anchor moveWithCells="1" sizeWithCells="1">
                  <from>
                    <xdr:col>3</xdr:col>
                    <xdr:colOff>0</xdr:colOff>
                    <xdr:row>1</xdr:row>
                    <xdr:rowOff>7620</xdr:rowOff>
                  </from>
                  <to>
                    <xdr:col>5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77C30-66BB-41AF-B3C4-8ADA9028618B}">
  <sheetPr codeName="Sheet6">
    <tabColor rgb="FFFF0000"/>
  </sheetPr>
  <dimension ref="A1:A229"/>
  <sheetViews>
    <sheetView workbookViewId="0">
      <selection activeCell="K236" sqref="K236"/>
    </sheetView>
  </sheetViews>
  <sheetFormatPr defaultRowHeight="14.4" x14ac:dyDescent="0.3"/>
  <cols>
    <col min="1" max="1" width="36.109375" customWidth="1"/>
  </cols>
  <sheetData>
    <row r="1" spans="1:1" x14ac:dyDescent="0.3">
      <c r="A1" t="s">
        <v>10</v>
      </c>
    </row>
    <row r="2" spans="1:1" x14ac:dyDescent="0.3">
      <c r="A2" t="s">
        <v>76</v>
      </c>
    </row>
    <row r="3" spans="1:1" x14ac:dyDescent="0.3">
      <c r="A3" t="s">
        <v>284</v>
      </c>
    </row>
    <row r="4" spans="1:1" x14ac:dyDescent="0.3">
      <c r="A4" t="s">
        <v>13</v>
      </c>
    </row>
    <row r="5" spans="1:1" x14ac:dyDescent="0.3">
      <c r="A5" t="s">
        <v>15</v>
      </c>
    </row>
    <row r="6" spans="1:1" x14ac:dyDescent="0.3">
      <c r="A6" t="s">
        <v>16</v>
      </c>
    </row>
    <row r="7" spans="1:1" x14ac:dyDescent="0.3">
      <c r="A7" t="s">
        <v>285</v>
      </c>
    </row>
    <row r="8" spans="1:1" x14ac:dyDescent="0.3">
      <c r="A8" t="s">
        <v>18</v>
      </c>
    </row>
    <row r="9" spans="1:1" x14ac:dyDescent="0.3">
      <c r="A9" t="s">
        <v>19</v>
      </c>
    </row>
    <row r="10" spans="1:1" x14ac:dyDescent="0.3">
      <c r="A10" t="s">
        <v>21</v>
      </c>
    </row>
    <row r="11" spans="1:1" x14ac:dyDescent="0.3">
      <c r="A11" t="s">
        <v>283</v>
      </c>
    </row>
    <row r="12" spans="1:1" x14ac:dyDescent="0.3">
      <c r="A12" t="s">
        <v>286</v>
      </c>
    </row>
    <row r="13" spans="1:1" x14ac:dyDescent="0.3">
      <c r="A13" t="s">
        <v>287</v>
      </c>
    </row>
    <row r="14" spans="1:1" x14ac:dyDescent="0.3">
      <c r="A14" t="s">
        <v>288</v>
      </c>
    </row>
    <row r="15" spans="1:1" x14ac:dyDescent="0.3">
      <c r="A15" t="s">
        <v>289</v>
      </c>
    </row>
    <row r="16" spans="1:1" x14ac:dyDescent="0.3">
      <c r="A16" t="s">
        <v>25</v>
      </c>
    </row>
    <row r="17" spans="1:1" x14ac:dyDescent="0.3">
      <c r="A17" t="s">
        <v>290</v>
      </c>
    </row>
    <row r="18" spans="1:1" x14ac:dyDescent="0.3">
      <c r="A18" t="s">
        <v>291</v>
      </c>
    </row>
    <row r="19" spans="1:1" x14ac:dyDescent="0.3">
      <c r="A19" t="s">
        <v>292</v>
      </c>
    </row>
    <row r="20" spans="1:1" x14ac:dyDescent="0.3">
      <c r="A20" t="s">
        <v>293</v>
      </c>
    </row>
    <row r="21" spans="1:1" x14ac:dyDescent="0.3">
      <c r="A21" t="s">
        <v>294</v>
      </c>
    </row>
    <row r="22" spans="1:1" x14ac:dyDescent="0.3">
      <c r="A22" t="s">
        <v>26</v>
      </c>
    </row>
    <row r="23" spans="1:1" x14ac:dyDescent="0.3">
      <c r="A23" t="s">
        <v>295</v>
      </c>
    </row>
    <row r="24" spans="1:1" x14ac:dyDescent="0.3">
      <c r="A24" t="s">
        <v>28</v>
      </c>
    </row>
    <row r="25" spans="1:1" x14ac:dyDescent="0.3">
      <c r="A25" t="s">
        <v>29</v>
      </c>
    </row>
    <row r="26" spans="1:1" x14ac:dyDescent="0.3">
      <c r="A26" t="s">
        <v>296</v>
      </c>
    </row>
    <row r="27" spans="1:1" x14ac:dyDescent="0.3">
      <c r="A27" t="s">
        <v>30</v>
      </c>
    </row>
    <row r="28" spans="1:1" x14ac:dyDescent="0.3">
      <c r="A28" t="s">
        <v>297</v>
      </c>
    </row>
    <row r="29" spans="1:1" x14ac:dyDescent="0.3">
      <c r="A29" t="s">
        <v>298</v>
      </c>
    </row>
    <row r="30" spans="1:1" x14ac:dyDescent="0.3">
      <c r="A30" t="s">
        <v>299</v>
      </c>
    </row>
    <row r="31" spans="1:1" x14ac:dyDescent="0.3">
      <c r="A31" t="s">
        <v>300</v>
      </c>
    </row>
    <row r="32" spans="1:1" x14ac:dyDescent="0.3">
      <c r="A32" t="s">
        <v>75</v>
      </c>
    </row>
    <row r="33" spans="1:1" x14ac:dyDescent="0.3">
      <c r="A33" t="s">
        <v>301</v>
      </c>
    </row>
    <row r="34" spans="1:1" x14ac:dyDescent="0.3">
      <c r="A34" t="s">
        <v>302</v>
      </c>
    </row>
    <row r="35" spans="1:1" x14ac:dyDescent="0.3">
      <c r="A35" t="s">
        <v>303</v>
      </c>
    </row>
    <row r="36" spans="1:1" x14ac:dyDescent="0.3">
      <c r="A36" t="s">
        <v>304</v>
      </c>
    </row>
    <row r="37" spans="1:1" x14ac:dyDescent="0.3">
      <c r="A37" t="s">
        <v>305</v>
      </c>
    </row>
    <row r="38" spans="1:1" x14ac:dyDescent="0.3">
      <c r="A38" t="s">
        <v>306</v>
      </c>
    </row>
    <row r="39" spans="1:1" x14ac:dyDescent="0.3">
      <c r="A39" t="s">
        <v>31</v>
      </c>
    </row>
    <row r="40" spans="1:1" x14ac:dyDescent="0.3">
      <c r="A40" t="s">
        <v>307</v>
      </c>
    </row>
    <row r="41" spans="1:1" x14ac:dyDescent="0.3">
      <c r="A41" t="s">
        <v>32</v>
      </c>
    </row>
    <row r="42" spans="1:1" x14ac:dyDescent="0.3">
      <c r="A42" t="s">
        <v>33</v>
      </c>
    </row>
    <row r="43" spans="1:1" x14ac:dyDescent="0.3">
      <c r="A43" t="s">
        <v>34</v>
      </c>
    </row>
    <row r="44" spans="1:1" x14ac:dyDescent="0.3">
      <c r="A44" t="s">
        <v>35</v>
      </c>
    </row>
    <row r="45" spans="1:1" x14ac:dyDescent="0.3">
      <c r="A45" t="s">
        <v>36</v>
      </c>
    </row>
    <row r="46" spans="1:1" x14ac:dyDescent="0.3">
      <c r="A46" t="s">
        <v>37</v>
      </c>
    </row>
    <row r="47" spans="1:1" x14ac:dyDescent="0.3">
      <c r="A47" t="s">
        <v>38</v>
      </c>
    </row>
    <row r="48" spans="1:1" x14ac:dyDescent="0.3">
      <c r="A48" t="s">
        <v>308</v>
      </c>
    </row>
    <row r="49" spans="1:1" x14ac:dyDescent="0.3">
      <c r="A49" t="s">
        <v>40</v>
      </c>
    </row>
    <row r="50" spans="1:1" x14ac:dyDescent="0.3">
      <c r="A50" t="s">
        <v>41</v>
      </c>
    </row>
    <row r="51" spans="1:1" x14ac:dyDescent="0.3">
      <c r="A51" t="s">
        <v>42</v>
      </c>
    </row>
    <row r="52" spans="1:1" x14ac:dyDescent="0.3">
      <c r="A52" t="s">
        <v>43</v>
      </c>
    </row>
    <row r="53" spans="1:1" x14ac:dyDescent="0.3">
      <c r="A53" t="s">
        <v>44</v>
      </c>
    </row>
    <row r="54" spans="1:1" x14ac:dyDescent="0.3">
      <c r="A54" t="s">
        <v>45</v>
      </c>
    </row>
    <row r="55" spans="1:1" x14ac:dyDescent="0.3">
      <c r="A55" t="s">
        <v>46</v>
      </c>
    </row>
    <row r="56" spans="1:1" x14ac:dyDescent="0.3">
      <c r="A56" t="s">
        <v>47</v>
      </c>
    </row>
    <row r="57" spans="1:1" x14ac:dyDescent="0.3">
      <c r="A57" t="s">
        <v>49</v>
      </c>
    </row>
    <row r="58" spans="1:1" x14ac:dyDescent="0.3">
      <c r="A58" t="s">
        <v>50</v>
      </c>
    </row>
    <row r="59" spans="1:1" x14ac:dyDescent="0.3">
      <c r="A59" t="s">
        <v>51</v>
      </c>
    </row>
    <row r="60" spans="1:1" x14ac:dyDescent="0.3">
      <c r="A60" t="s">
        <v>52</v>
      </c>
    </row>
    <row r="61" spans="1:1" x14ac:dyDescent="0.3">
      <c r="A61" t="s">
        <v>53</v>
      </c>
    </row>
    <row r="62" spans="1:1" x14ac:dyDescent="0.3">
      <c r="A62" t="s">
        <v>54</v>
      </c>
    </row>
    <row r="63" spans="1:1" x14ac:dyDescent="0.3">
      <c r="A63" t="s">
        <v>55</v>
      </c>
    </row>
    <row r="64" spans="1:1" x14ac:dyDescent="0.3">
      <c r="A64" t="s">
        <v>56</v>
      </c>
    </row>
    <row r="65" spans="1:1" x14ac:dyDescent="0.3">
      <c r="A65" t="s">
        <v>57</v>
      </c>
    </row>
    <row r="66" spans="1:1" x14ac:dyDescent="0.3">
      <c r="A66" t="s">
        <v>58</v>
      </c>
    </row>
    <row r="67" spans="1:1" x14ac:dyDescent="0.3">
      <c r="A67" t="s">
        <v>59</v>
      </c>
    </row>
    <row r="68" spans="1:1" x14ac:dyDescent="0.3">
      <c r="A68" t="s">
        <v>60</v>
      </c>
    </row>
    <row r="69" spans="1:1" x14ac:dyDescent="0.3">
      <c r="A69" t="s">
        <v>61</v>
      </c>
    </row>
    <row r="70" spans="1:1" x14ac:dyDescent="0.3">
      <c r="A70" t="s">
        <v>62</v>
      </c>
    </row>
    <row r="71" spans="1:1" x14ac:dyDescent="0.3">
      <c r="A71" t="s">
        <v>63</v>
      </c>
    </row>
    <row r="72" spans="1:1" x14ac:dyDescent="0.3">
      <c r="A72" t="s">
        <v>64</v>
      </c>
    </row>
    <row r="73" spans="1:1" x14ac:dyDescent="0.3">
      <c r="A73" t="s">
        <v>65</v>
      </c>
    </row>
    <row r="74" spans="1:1" x14ac:dyDescent="0.3">
      <c r="A74" t="s">
        <v>66</v>
      </c>
    </row>
    <row r="75" spans="1:1" x14ac:dyDescent="0.3">
      <c r="A75" t="s">
        <v>67</v>
      </c>
    </row>
    <row r="76" spans="1:1" x14ac:dyDescent="0.3">
      <c r="A76" t="s">
        <v>68</v>
      </c>
    </row>
    <row r="77" spans="1:1" x14ac:dyDescent="0.3">
      <c r="A77" t="s">
        <v>69</v>
      </c>
    </row>
    <row r="78" spans="1:1" x14ac:dyDescent="0.3">
      <c r="A78" t="s">
        <v>70</v>
      </c>
    </row>
    <row r="79" spans="1:1" x14ac:dyDescent="0.3">
      <c r="A79" t="s">
        <v>71</v>
      </c>
    </row>
    <row r="80" spans="1:1" x14ac:dyDescent="0.3">
      <c r="A80" t="s">
        <v>72</v>
      </c>
    </row>
    <row r="81" spans="1:1" x14ac:dyDescent="0.3">
      <c r="A81" t="s">
        <v>73</v>
      </c>
    </row>
    <row r="82" spans="1:1" x14ac:dyDescent="0.3">
      <c r="A82" t="s">
        <v>74</v>
      </c>
    </row>
    <row r="83" spans="1:1" x14ac:dyDescent="0.3">
      <c r="A83" t="s">
        <v>77</v>
      </c>
    </row>
    <row r="84" spans="1:1" x14ac:dyDescent="0.3">
      <c r="A84" t="s">
        <v>78</v>
      </c>
    </row>
    <row r="85" spans="1:1" x14ac:dyDescent="0.3">
      <c r="A85" t="s">
        <v>79</v>
      </c>
    </row>
    <row r="86" spans="1:1" x14ac:dyDescent="0.3">
      <c r="A86" t="s">
        <v>80</v>
      </c>
    </row>
    <row r="87" spans="1:1" x14ac:dyDescent="0.3">
      <c r="A87" t="s">
        <v>81</v>
      </c>
    </row>
    <row r="88" spans="1:1" x14ac:dyDescent="0.3">
      <c r="A88" t="s">
        <v>82</v>
      </c>
    </row>
    <row r="89" spans="1:1" x14ac:dyDescent="0.3">
      <c r="A89" t="s">
        <v>309</v>
      </c>
    </row>
    <row r="90" spans="1:1" x14ac:dyDescent="0.3">
      <c r="A90" t="s">
        <v>84</v>
      </c>
    </row>
    <row r="91" spans="1:1" x14ac:dyDescent="0.3">
      <c r="A91" t="s">
        <v>85</v>
      </c>
    </row>
    <row r="92" spans="1:1" x14ac:dyDescent="0.3">
      <c r="A92" t="s">
        <v>86</v>
      </c>
    </row>
    <row r="93" spans="1:1" x14ac:dyDescent="0.3">
      <c r="A93" t="s">
        <v>87</v>
      </c>
    </row>
    <row r="94" spans="1:1" x14ac:dyDescent="0.3">
      <c r="A94" t="s">
        <v>88</v>
      </c>
    </row>
    <row r="95" spans="1:1" x14ac:dyDescent="0.3">
      <c r="A95" t="s">
        <v>89</v>
      </c>
    </row>
    <row r="96" spans="1:1" x14ac:dyDescent="0.3">
      <c r="A96" t="s">
        <v>90</v>
      </c>
    </row>
    <row r="97" spans="1:1" x14ac:dyDescent="0.3">
      <c r="A97" t="s">
        <v>91</v>
      </c>
    </row>
    <row r="98" spans="1:1" x14ac:dyDescent="0.3">
      <c r="A98" t="s">
        <v>92</v>
      </c>
    </row>
    <row r="99" spans="1:1" x14ac:dyDescent="0.3">
      <c r="A99" t="s">
        <v>93</v>
      </c>
    </row>
    <row r="100" spans="1:1" x14ac:dyDescent="0.3">
      <c r="A100" t="s">
        <v>94</v>
      </c>
    </row>
    <row r="101" spans="1:1" x14ac:dyDescent="0.3">
      <c r="A101" t="s">
        <v>95</v>
      </c>
    </row>
    <row r="102" spans="1:1" x14ac:dyDescent="0.3">
      <c r="A102" t="s">
        <v>96</v>
      </c>
    </row>
    <row r="103" spans="1:1" x14ac:dyDescent="0.3">
      <c r="A103" t="s">
        <v>97</v>
      </c>
    </row>
    <row r="104" spans="1:1" x14ac:dyDescent="0.3">
      <c r="A104" t="s">
        <v>98</v>
      </c>
    </row>
    <row r="105" spans="1:1" x14ac:dyDescent="0.3">
      <c r="A105" t="s">
        <v>99</v>
      </c>
    </row>
    <row r="106" spans="1:1" x14ac:dyDescent="0.3">
      <c r="A106" t="s">
        <v>100</v>
      </c>
    </row>
    <row r="107" spans="1:1" x14ac:dyDescent="0.3">
      <c r="A107" t="s">
        <v>101</v>
      </c>
    </row>
    <row r="108" spans="1:1" x14ac:dyDescent="0.3">
      <c r="A108" t="s">
        <v>102</v>
      </c>
    </row>
    <row r="109" spans="1:1" x14ac:dyDescent="0.3">
      <c r="A109" t="s">
        <v>310</v>
      </c>
    </row>
    <row r="110" spans="1:1" x14ac:dyDescent="0.3">
      <c r="A110" t="s">
        <v>311</v>
      </c>
    </row>
    <row r="111" spans="1:1" x14ac:dyDescent="0.3">
      <c r="A111" t="s">
        <v>105</v>
      </c>
    </row>
    <row r="112" spans="1:1" x14ac:dyDescent="0.3">
      <c r="A112" t="s">
        <v>106</v>
      </c>
    </row>
    <row r="113" spans="1:1" x14ac:dyDescent="0.3">
      <c r="A113" t="s">
        <v>107</v>
      </c>
    </row>
    <row r="114" spans="1:1" x14ac:dyDescent="0.3">
      <c r="A114" t="s">
        <v>108</v>
      </c>
    </row>
    <row r="115" spans="1:1" x14ac:dyDescent="0.3">
      <c r="A115" t="s">
        <v>115</v>
      </c>
    </row>
    <row r="116" spans="1:1" x14ac:dyDescent="0.3">
      <c r="A116" t="s">
        <v>312</v>
      </c>
    </row>
    <row r="117" spans="1:1" x14ac:dyDescent="0.3">
      <c r="A117" t="s">
        <v>313</v>
      </c>
    </row>
    <row r="118" spans="1:1" x14ac:dyDescent="0.3">
      <c r="A118" t="s">
        <v>118</v>
      </c>
    </row>
    <row r="119" spans="1:1" x14ac:dyDescent="0.3">
      <c r="A119" t="s">
        <v>119</v>
      </c>
    </row>
    <row r="120" spans="1:1" x14ac:dyDescent="0.3">
      <c r="A120" t="s">
        <v>120</v>
      </c>
    </row>
    <row r="121" spans="1:1" x14ac:dyDescent="0.3">
      <c r="A121" t="s">
        <v>121</v>
      </c>
    </row>
    <row r="122" spans="1:1" x14ac:dyDescent="0.3">
      <c r="A122" t="s">
        <v>122</v>
      </c>
    </row>
    <row r="123" spans="1:1" x14ac:dyDescent="0.3">
      <c r="A123" t="s">
        <v>123</v>
      </c>
    </row>
    <row r="124" spans="1:1" x14ac:dyDescent="0.3">
      <c r="A124" t="s">
        <v>124</v>
      </c>
    </row>
    <row r="125" spans="1:1" x14ac:dyDescent="0.3">
      <c r="A125" t="s">
        <v>125</v>
      </c>
    </row>
    <row r="126" spans="1:1" x14ac:dyDescent="0.3">
      <c r="A126" t="s">
        <v>126</v>
      </c>
    </row>
    <row r="127" spans="1:1" x14ac:dyDescent="0.3">
      <c r="A127" t="s">
        <v>127</v>
      </c>
    </row>
    <row r="128" spans="1:1" x14ac:dyDescent="0.3">
      <c r="A128" t="s">
        <v>128</v>
      </c>
    </row>
    <row r="129" spans="1:1" x14ac:dyDescent="0.3">
      <c r="A129" t="s">
        <v>129</v>
      </c>
    </row>
    <row r="130" spans="1:1" x14ac:dyDescent="0.3">
      <c r="A130" t="s">
        <v>130</v>
      </c>
    </row>
    <row r="131" spans="1:1" x14ac:dyDescent="0.3">
      <c r="A131" t="s">
        <v>131</v>
      </c>
    </row>
    <row r="132" spans="1:1" x14ac:dyDescent="0.3">
      <c r="A132" t="s">
        <v>132</v>
      </c>
    </row>
    <row r="133" spans="1:1" x14ac:dyDescent="0.3">
      <c r="A133" t="s">
        <v>133</v>
      </c>
    </row>
    <row r="134" spans="1:1" x14ac:dyDescent="0.3">
      <c r="A134" t="s">
        <v>134</v>
      </c>
    </row>
    <row r="135" spans="1:1" x14ac:dyDescent="0.3">
      <c r="A135" t="s">
        <v>135</v>
      </c>
    </row>
    <row r="136" spans="1:1" x14ac:dyDescent="0.3">
      <c r="A136" t="s">
        <v>136</v>
      </c>
    </row>
    <row r="137" spans="1:1" x14ac:dyDescent="0.3">
      <c r="A137" t="s">
        <v>137</v>
      </c>
    </row>
    <row r="138" spans="1:1" x14ac:dyDescent="0.3">
      <c r="A138" t="s">
        <v>138</v>
      </c>
    </row>
    <row r="139" spans="1:1" x14ac:dyDescent="0.3">
      <c r="A139" t="s">
        <v>139</v>
      </c>
    </row>
    <row r="140" spans="1:1" x14ac:dyDescent="0.3">
      <c r="A140" t="s">
        <v>140</v>
      </c>
    </row>
    <row r="141" spans="1:1" x14ac:dyDescent="0.3">
      <c r="A141" t="s">
        <v>141</v>
      </c>
    </row>
    <row r="142" spans="1:1" x14ac:dyDescent="0.3">
      <c r="A142" t="s">
        <v>142</v>
      </c>
    </row>
    <row r="143" spans="1:1" x14ac:dyDescent="0.3">
      <c r="A143" t="s">
        <v>143</v>
      </c>
    </row>
    <row r="144" spans="1:1" x14ac:dyDescent="0.3">
      <c r="A144" t="s">
        <v>144</v>
      </c>
    </row>
    <row r="145" spans="1:1" x14ac:dyDescent="0.3">
      <c r="A145" t="s">
        <v>145</v>
      </c>
    </row>
    <row r="146" spans="1:1" x14ac:dyDescent="0.3">
      <c r="A146" t="s">
        <v>146</v>
      </c>
    </row>
    <row r="147" spans="1:1" x14ac:dyDescent="0.3">
      <c r="A147" t="s">
        <v>147</v>
      </c>
    </row>
    <row r="148" spans="1:1" x14ac:dyDescent="0.3">
      <c r="A148" t="s">
        <v>148</v>
      </c>
    </row>
    <row r="149" spans="1:1" x14ac:dyDescent="0.3">
      <c r="A149" t="s">
        <v>149</v>
      </c>
    </row>
    <row r="150" spans="1:1" x14ac:dyDescent="0.3">
      <c r="A150" t="s">
        <v>314</v>
      </c>
    </row>
    <row r="151" spans="1:1" x14ac:dyDescent="0.3">
      <c r="A151" t="s">
        <v>151</v>
      </c>
    </row>
    <row r="152" spans="1:1" x14ac:dyDescent="0.3">
      <c r="A152" t="s">
        <v>152</v>
      </c>
    </row>
    <row r="153" spans="1:1" x14ac:dyDescent="0.3">
      <c r="A153" t="s">
        <v>315</v>
      </c>
    </row>
    <row r="154" spans="1:1" x14ac:dyDescent="0.3">
      <c r="A154" t="s">
        <v>316</v>
      </c>
    </row>
    <row r="155" spans="1:1" x14ac:dyDescent="0.3">
      <c r="A155" t="s">
        <v>155</v>
      </c>
    </row>
    <row r="156" spans="1:1" x14ac:dyDescent="0.3">
      <c r="A156" t="s">
        <v>156</v>
      </c>
    </row>
    <row r="157" spans="1:1" x14ac:dyDescent="0.3">
      <c r="A157" t="s">
        <v>157</v>
      </c>
    </row>
    <row r="158" spans="1:1" x14ac:dyDescent="0.3">
      <c r="A158" t="s">
        <v>158</v>
      </c>
    </row>
    <row r="159" spans="1:1" x14ac:dyDescent="0.3">
      <c r="A159" t="s">
        <v>159</v>
      </c>
    </row>
    <row r="160" spans="1:1" x14ac:dyDescent="0.3">
      <c r="A160" t="s">
        <v>160</v>
      </c>
    </row>
    <row r="161" spans="1:1" x14ac:dyDescent="0.3">
      <c r="A161" t="s">
        <v>161</v>
      </c>
    </row>
    <row r="162" spans="1:1" x14ac:dyDescent="0.3">
      <c r="A162" t="s">
        <v>162</v>
      </c>
    </row>
    <row r="163" spans="1:1" x14ac:dyDescent="0.3">
      <c r="A163" t="s">
        <v>163</v>
      </c>
    </row>
    <row r="164" spans="1:1" x14ac:dyDescent="0.3">
      <c r="A164" t="s">
        <v>164</v>
      </c>
    </row>
    <row r="165" spans="1:1" x14ac:dyDescent="0.3">
      <c r="A165" t="s">
        <v>165</v>
      </c>
    </row>
    <row r="166" spans="1:1" x14ac:dyDescent="0.3">
      <c r="A166" t="s">
        <v>166</v>
      </c>
    </row>
    <row r="167" spans="1:1" x14ac:dyDescent="0.3">
      <c r="A167" t="s">
        <v>167</v>
      </c>
    </row>
    <row r="168" spans="1:1" x14ac:dyDescent="0.3">
      <c r="A168" t="s">
        <v>168</v>
      </c>
    </row>
    <row r="169" spans="1:1" x14ac:dyDescent="0.3">
      <c r="A169" t="s">
        <v>169</v>
      </c>
    </row>
    <row r="170" spans="1:1" x14ac:dyDescent="0.3">
      <c r="A170" t="s">
        <v>170</v>
      </c>
    </row>
    <row r="171" spans="1:1" x14ac:dyDescent="0.3">
      <c r="A171" t="s">
        <v>171</v>
      </c>
    </row>
    <row r="172" spans="1:1" x14ac:dyDescent="0.3">
      <c r="A172" t="s">
        <v>172</v>
      </c>
    </row>
    <row r="173" spans="1:1" x14ac:dyDescent="0.3">
      <c r="A173" t="s">
        <v>173</v>
      </c>
    </row>
    <row r="174" spans="1:1" x14ac:dyDescent="0.3">
      <c r="A174" t="s">
        <v>174</v>
      </c>
    </row>
    <row r="175" spans="1:1" x14ac:dyDescent="0.3">
      <c r="A175" t="s">
        <v>175</v>
      </c>
    </row>
    <row r="176" spans="1:1" x14ac:dyDescent="0.3">
      <c r="A176" t="s">
        <v>176</v>
      </c>
    </row>
    <row r="177" spans="1:1" x14ac:dyDescent="0.3">
      <c r="A177" t="s">
        <v>177</v>
      </c>
    </row>
    <row r="178" spans="1:1" x14ac:dyDescent="0.3">
      <c r="A178" t="s">
        <v>317</v>
      </c>
    </row>
    <row r="179" spans="1:1" x14ac:dyDescent="0.3">
      <c r="A179" t="s">
        <v>318</v>
      </c>
    </row>
    <row r="180" spans="1:1" x14ac:dyDescent="0.3">
      <c r="A180" t="s">
        <v>319</v>
      </c>
    </row>
    <row r="181" spans="1:1" x14ac:dyDescent="0.3">
      <c r="A181" t="s">
        <v>320</v>
      </c>
    </row>
    <row r="182" spans="1:1" x14ac:dyDescent="0.3">
      <c r="A182" t="s">
        <v>182</v>
      </c>
    </row>
    <row r="183" spans="1:1" x14ac:dyDescent="0.3">
      <c r="A183" t="s">
        <v>183</v>
      </c>
    </row>
    <row r="184" spans="1:1" x14ac:dyDescent="0.3">
      <c r="A184" t="s">
        <v>184</v>
      </c>
    </row>
    <row r="185" spans="1:1" x14ac:dyDescent="0.3">
      <c r="A185" t="s">
        <v>185</v>
      </c>
    </row>
    <row r="186" spans="1:1" x14ac:dyDescent="0.3">
      <c r="A186" t="s">
        <v>186</v>
      </c>
    </row>
    <row r="187" spans="1:1" x14ac:dyDescent="0.3">
      <c r="A187" t="s">
        <v>187</v>
      </c>
    </row>
    <row r="188" spans="1:1" x14ac:dyDescent="0.3">
      <c r="A188" t="s">
        <v>188</v>
      </c>
    </row>
    <row r="189" spans="1:1" x14ac:dyDescent="0.3">
      <c r="A189" t="s">
        <v>189</v>
      </c>
    </row>
    <row r="190" spans="1:1" x14ac:dyDescent="0.3">
      <c r="A190" t="s">
        <v>190</v>
      </c>
    </row>
    <row r="191" spans="1:1" x14ac:dyDescent="0.3">
      <c r="A191" t="s">
        <v>191</v>
      </c>
    </row>
    <row r="192" spans="1:1" x14ac:dyDescent="0.3">
      <c r="A192" t="s">
        <v>192</v>
      </c>
    </row>
    <row r="193" spans="1:1" x14ac:dyDescent="0.3">
      <c r="A193" t="s">
        <v>193</v>
      </c>
    </row>
    <row r="194" spans="1:1" x14ac:dyDescent="0.3">
      <c r="A194" t="s">
        <v>194</v>
      </c>
    </row>
    <row r="195" spans="1:1" x14ac:dyDescent="0.3">
      <c r="A195" t="s">
        <v>195</v>
      </c>
    </row>
    <row r="196" spans="1:1" x14ac:dyDescent="0.3">
      <c r="A196" t="s">
        <v>196</v>
      </c>
    </row>
    <row r="197" spans="1:1" x14ac:dyDescent="0.3">
      <c r="A197" t="s">
        <v>321</v>
      </c>
    </row>
    <row r="198" spans="1:1" x14ac:dyDescent="0.3">
      <c r="A198" t="s">
        <v>198</v>
      </c>
    </row>
    <row r="199" spans="1:1" x14ac:dyDescent="0.3">
      <c r="A199" t="s">
        <v>199</v>
      </c>
    </row>
    <row r="200" spans="1:1" x14ac:dyDescent="0.3">
      <c r="A200" t="s">
        <v>322</v>
      </c>
    </row>
    <row r="201" spans="1:1" x14ac:dyDescent="0.3">
      <c r="A201" t="s">
        <v>204</v>
      </c>
    </row>
    <row r="202" spans="1:1" x14ac:dyDescent="0.3">
      <c r="A202" t="s">
        <v>323</v>
      </c>
    </row>
    <row r="203" spans="1:1" x14ac:dyDescent="0.3">
      <c r="A203" t="s">
        <v>216</v>
      </c>
    </row>
    <row r="204" spans="1:1" x14ac:dyDescent="0.3">
      <c r="A204" t="s">
        <v>217</v>
      </c>
    </row>
    <row r="205" spans="1:1" x14ac:dyDescent="0.3">
      <c r="A205" t="s">
        <v>218</v>
      </c>
    </row>
    <row r="206" spans="1:1" x14ac:dyDescent="0.3">
      <c r="A206" t="s">
        <v>256</v>
      </c>
    </row>
    <row r="207" spans="1:1" x14ac:dyDescent="0.3">
      <c r="A207" t="s">
        <v>257</v>
      </c>
    </row>
    <row r="208" spans="1:1" x14ac:dyDescent="0.3">
      <c r="A208" t="s">
        <v>258</v>
      </c>
    </row>
    <row r="209" spans="1:1" x14ac:dyDescent="0.3">
      <c r="A209" t="s">
        <v>259</v>
      </c>
    </row>
    <row r="210" spans="1:1" x14ac:dyDescent="0.3">
      <c r="A210" t="s">
        <v>260</v>
      </c>
    </row>
    <row r="211" spans="1:1" x14ac:dyDescent="0.3">
      <c r="A211" t="s">
        <v>261</v>
      </c>
    </row>
    <row r="212" spans="1:1" x14ac:dyDescent="0.3">
      <c r="A212" t="s">
        <v>262</v>
      </c>
    </row>
    <row r="213" spans="1:1" x14ac:dyDescent="0.3">
      <c r="A213" t="s">
        <v>263</v>
      </c>
    </row>
    <row r="214" spans="1:1" x14ac:dyDescent="0.3">
      <c r="A214" t="s">
        <v>264</v>
      </c>
    </row>
    <row r="215" spans="1:1" x14ac:dyDescent="0.3">
      <c r="A215" t="s">
        <v>265</v>
      </c>
    </row>
    <row r="216" spans="1:1" x14ac:dyDescent="0.3">
      <c r="A216" t="s">
        <v>266</v>
      </c>
    </row>
    <row r="217" spans="1:1" x14ac:dyDescent="0.3">
      <c r="A217" t="s">
        <v>267</v>
      </c>
    </row>
    <row r="218" spans="1:1" x14ac:dyDescent="0.3">
      <c r="A218" t="s">
        <v>268</v>
      </c>
    </row>
    <row r="219" spans="1:1" x14ac:dyDescent="0.3">
      <c r="A219" t="s">
        <v>269</v>
      </c>
    </row>
    <row r="220" spans="1:1" x14ac:dyDescent="0.3">
      <c r="A220" t="s">
        <v>270</v>
      </c>
    </row>
    <row r="221" spans="1:1" x14ac:dyDescent="0.3">
      <c r="A221" t="s">
        <v>271</v>
      </c>
    </row>
    <row r="222" spans="1:1" x14ac:dyDescent="0.3">
      <c r="A222" t="s">
        <v>272</v>
      </c>
    </row>
    <row r="223" spans="1:1" x14ac:dyDescent="0.3">
      <c r="A223" t="s">
        <v>273</v>
      </c>
    </row>
    <row r="224" spans="1:1" x14ac:dyDescent="0.3">
      <c r="A224" t="s">
        <v>274</v>
      </c>
    </row>
    <row r="225" spans="1:1" x14ac:dyDescent="0.3">
      <c r="A225" t="s">
        <v>324</v>
      </c>
    </row>
    <row r="226" spans="1:1" x14ac:dyDescent="0.3">
      <c r="A226" t="s">
        <v>276</v>
      </c>
    </row>
    <row r="227" spans="1:1" x14ac:dyDescent="0.3">
      <c r="A227" t="s">
        <v>277</v>
      </c>
    </row>
    <row r="228" spans="1:1" x14ac:dyDescent="0.3">
      <c r="A228" t="s">
        <v>278</v>
      </c>
    </row>
    <row r="229" spans="1:1" x14ac:dyDescent="0.3">
      <c r="A229" t="s">
        <v>279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REGISTRO</vt:lpstr>
      <vt:lpstr>TABLA</vt:lpstr>
      <vt:lpstr>Campana</vt:lpstr>
      <vt:lpstr>MAQUINADO</vt:lpstr>
      <vt:lpstr>CORTE Y DOBLEZ</vt:lpstr>
      <vt:lpstr>MANUFACTURA</vt:lpstr>
      <vt:lpstr>PIEZAS</vt:lpstr>
      <vt:lpstr>LISTA_PIEZAS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Ulises Correa</dc:creator>
  <cp:lastModifiedBy>Ulises Correa</cp:lastModifiedBy>
  <dcterms:created xsi:type="dcterms:W3CDTF">2025-03-18T16:37:16Z</dcterms:created>
  <dcterms:modified xsi:type="dcterms:W3CDTF">2025-07-10T20:08:00Z</dcterms:modified>
</cp:coreProperties>
</file>